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WV_STHL\data\analysis\wv_sthl_post_2025_survey_results\"/>
    </mc:Choice>
  </mc:AlternateContent>
  <xr:revisionPtr revIDLastSave="0" documentId="13_ncr:1_{E7982289-FBFA-488A-9A36-0D03C8C8E465}" xr6:coauthVersionLast="47" xr6:coauthVersionMax="47" xr10:uidLastSave="{00000000-0000-0000-0000-000000000000}"/>
  <bookViews>
    <workbookView xWindow="14295" yWindow="-16320" windowWidth="28110" windowHeight="16440" tabRatio="713" xr2:uid="{48EF38A4-47A5-4C92-999D-D75DE2EC1AF9}"/>
  </bookViews>
  <sheets>
    <sheet name="Roll Ups" sheetId="6" r:id="rId1"/>
    <sheet name="Adjusted vs Unadjusted Habitat" sheetId="10" r:id="rId2"/>
    <sheet name="tbl_pts_WV_SHLA_survey_data_fro" sheetId="7" r:id="rId3"/>
    <sheet name="Survey Period 1" sheetId="2" r:id="rId4"/>
    <sheet name="Survey Period 2" sheetId="8" r:id="rId5"/>
    <sheet name="Survey Period 3" sheetId="9" r:id="rId6"/>
  </sheets>
  <definedNames>
    <definedName name="_xlnm._FilterDatabase" localSheetId="3" hidden="1">'Survey Period 1'!$A$1:$BF$82</definedName>
    <definedName name="_xlnm._FilterDatabase" localSheetId="4" hidden="1">'Survey Period 2'!$A$1:$BF$1</definedName>
    <definedName name="_xlnm._FilterDatabase" localSheetId="5" hidden="1">'Survey Period 3'!$A$1:$BF$1</definedName>
    <definedName name="_xlnm._FilterDatabase" localSheetId="2" hidden="1">tbl_pts_WV_SHLA_survey_data_fro!$A$1:$BF$141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6" l="1"/>
  <c r="C24" i="6"/>
  <c r="BB95" i="2"/>
  <c r="BB94" i="2"/>
  <c r="BB93" i="2"/>
  <c r="BC95" i="2"/>
  <c r="BC94" i="2"/>
  <c r="BC93" i="2"/>
  <c r="BB44" i="8"/>
  <c r="BB92" i="2"/>
  <c r="AV142" i="7"/>
  <c r="BB40" i="9"/>
  <c r="BB39" i="9"/>
  <c r="BB38" i="9"/>
  <c r="BB37" i="9"/>
  <c r="BB36" i="9"/>
  <c r="BB35" i="9"/>
  <c r="BB33" i="9"/>
  <c r="BB40" i="8"/>
  <c r="BB32" i="9"/>
  <c r="BB31" i="9"/>
  <c r="BB47" i="8"/>
  <c r="BB46" i="8"/>
  <c r="BB45" i="8"/>
  <c r="BB43" i="8"/>
  <c r="BB42" i="8"/>
  <c r="BB39" i="8"/>
  <c r="BB38" i="8"/>
  <c r="BB91" i="2"/>
  <c r="BB90" i="2"/>
  <c r="BB88" i="2"/>
  <c r="BB87" i="2"/>
  <c r="BB86" i="2"/>
</calcChain>
</file>

<file path=xl/sharedStrings.xml><?xml version="1.0" encoding="utf-8"?>
<sst xmlns="http://schemas.openxmlformats.org/spreadsheetml/2006/main" count="1207" uniqueCount="202">
  <si>
    <t>unique_ID</t>
  </si>
  <si>
    <t>Survey_Event_ID</t>
  </si>
  <si>
    <t>Year</t>
  </si>
  <si>
    <t>Survey_Date</t>
  </si>
  <si>
    <t>Number_Detected</t>
  </si>
  <si>
    <t>UTM_X</t>
  </si>
  <si>
    <t>UTM_Y</t>
  </si>
  <si>
    <t>ORIG_FID</t>
  </si>
  <si>
    <t>unique_ID_1</t>
  </si>
  <si>
    <t>Shape_Length</t>
  </si>
  <si>
    <t>Shape_Area</t>
  </si>
  <si>
    <t>S</t>
  </si>
  <si>
    <t>Suitability decreased</t>
  </si>
  <si>
    <t>Suitability increased</t>
  </si>
  <si>
    <t>Total detected birds</t>
  </si>
  <si>
    <t>Sites with birds</t>
  </si>
  <si>
    <t>Mean percent hab suitability in sites with birds</t>
  </si>
  <si>
    <t>Min percent suitable</t>
  </si>
  <si>
    <t>Max percent suitable</t>
  </si>
  <si>
    <t>Median percent suitable</t>
  </si>
  <si>
    <t>Survey Period 1</t>
  </si>
  <si>
    <t>Survey Period 2</t>
  </si>
  <si>
    <t>Survey Period 3</t>
  </si>
  <si>
    <t>Unique sites surveyed</t>
  </si>
  <si>
    <r>
      <t>Suitability decreased</t>
    </r>
    <r>
      <rPr>
        <vertAlign val="superscript"/>
        <sz val="10"/>
        <color theme="1"/>
        <rFont val="Roboto"/>
      </rPr>
      <t>1</t>
    </r>
  </si>
  <si>
    <r>
      <t>Suitability increased</t>
    </r>
    <r>
      <rPr>
        <vertAlign val="superscript"/>
        <sz val="10"/>
        <color theme="1"/>
        <rFont val="Roboto"/>
      </rPr>
      <t>1</t>
    </r>
  </si>
  <si>
    <t>Analysis by CORE GIS</t>
  </si>
  <si>
    <t>Analysis of Habitat Suitability within 2025 Survey Sites During Three Survey Periods</t>
  </si>
  <si>
    <r>
      <rPr>
        <i/>
        <vertAlign val="superscript"/>
        <sz val="8"/>
        <color theme="1"/>
        <rFont val="Roboto"/>
      </rPr>
      <t>1</t>
    </r>
    <r>
      <rPr>
        <i/>
        <sz val="8"/>
        <color theme="1"/>
        <rFont val="Roboto"/>
      </rPr>
      <t>Changes in Suitability are relative to pre-survey habitat suitability, dervied from imagery captured April 23, 2025. The NDVI inputs for pre-survey habitat suitability were *not* adjusted using the regression developed by Jim Hatten in Sep 2025. All of the habitat model outputs for concurrent dates use the regression, which is:  var ndvi_corrected = ndvi.expression('-0.0078 + (0.8419 * ndvi)',</t>
    </r>
  </si>
  <si>
    <t>May 14-22</t>
  </si>
  <si>
    <t>June 4 - 6</t>
  </si>
  <si>
    <t>Jun 10 - 12</t>
  </si>
  <si>
    <t>June 8</t>
  </si>
  <si>
    <t>June 15</t>
  </si>
  <si>
    <t>May 24</t>
  </si>
  <si>
    <t>NAME</t>
  </si>
  <si>
    <t>TYPE</t>
  </si>
  <si>
    <t>SUFFIX</t>
  </si>
  <si>
    <t>NAME_DIR</t>
  </si>
  <si>
    <t>NAMELC</t>
  </si>
  <si>
    <t>GIS_PRC_DT</t>
  </si>
  <si>
    <t>recovery_zone</t>
  </si>
  <si>
    <t>max_2017</t>
  </si>
  <si>
    <t>max_2018</t>
  </si>
  <si>
    <t>max_2020</t>
  </si>
  <si>
    <t>max_2021</t>
  </si>
  <si>
    <t>max_2017_scaled</t>
  </si>
  <si>
    <t>max_2018_scaled</t>
  </si>
  <si>
    <t>max_2020_scaled</t>
  </si>
  <si>
    <t>max_2021_scaled</t>
  </si>
  <si>
    <t>X_coord</t>
  </si>
  <si>
    <t>Y_coord</t>
  </si>
  <si>
    <t>four_year_avg</t>
  </si>
  <si>
    <t>four_year_avg_scaled</t>
  </si>
  <si>
    <t>pct_suitable_2021</t>
  </si>
  <si>
    <t>surveyed_2022</t>
  </si>
  <si>
    <t>num_birds_2022</t>
  </si>
  <si>
    <t>max_2022</t>
  </si>
  <si>
    <t>pct_suitable_2022</t>
  </si>
  <si>
    <t>max_2022_scaled</t>
  </si>
  <si>
    <t>survey_2023</t>
  </si>
  <si>
    <t>max_2023</t>
  </si>
  <si>
    <t>pct_suitable_2023</t>
  </si>
  <si>
    <t>max_2023_scaled</t>
  </si>
  <si>
    <t>survey_2023_v2</t>
  </si>
  <si>
    <t>acres</t>
  </si>
  <si>
    <t>pct_suitable_2024</t>
  </si>
  <si>
    <t>survey_2024</t>
  </si>
  <si>
    <t>pct_suitable_2025</t>
  </si>
  <si>
    <t>survey_2025</t>
  </si>
  <si>
    <t>surveyed_in_2025</t>
  </si>
  <si>
    <t>OBJECTID_1</t>
  </si>
  <si>
    <t>record_number</t>
  </si>
  <si>
    <t>UTM_X_1</t>
  </si>
  <si>
    <t>UTM_Y_1</t>
  </si>
  <si>
    <t>pct_suitable_may_24_2025</t>
  </si>
  <si>
    <t>pct_suitable_june_08_2025</t>
  </si>
  <si>
    <t>pct_suitable_june_15_2025</t>
  </si>
  <si>
    <t>diff_pct_suit_30Apr25_24May25</t>
  </si>
  <si>
    <t>diff_pct_suit_30Apr25_08June25</t>
  </si>
  <si>
    <t>diff_pct_suit_30Apr25_15June25</t>
  </si>
  <si>
    <t>Rowland</t>
  </si>
  <si>
    <t>Rd</t>
  </si>
  <si>
    <t xml:space="preserve"> </t>
  </si>
  <si>
    <t>en</t>
  </si>
  <si>
    <t>TALBOT</t>
  </si>
  <si>
    <t>RD</t>
  </si>
  <si>
    <t>COOPER</t>
  </si>
  <si>
    <t>DR</t>
  </si>
  <si>
    <t>BUENA VISTA</t>
  </si>
  <si>
    <t>CONSER</t>
  </si>
  <si>
    <t>DEVER CONNER</t>
  </si>
  <si>
    <t>WINTERCREEK</t>
  </si>
  <si>
    <t>SE</t>
  </si>
  <si>
    <t>PARRISH GAP</t>
  </si>
  <si>
    <t>WINTEL</t>
  </si>
  <si>
    <t>CLOW CORNER</t>
  </si>
  <si>
    <t>PACIFIC</t>
  </si>
  <si>
    <t>HWY</t>
  </si>
  <si>
    <t>W</t>
  </si>
  <si>
    <t>RIDDELL</t>
  </si>
  <si>
    <t>HANNA</t>
  </si>
  <si>
    <t>HALLS FERRY</t>
  </si>
  <si>
    <t>BALLARD</t>
  </si>
  <si>
    <t>FERGUSON</t>
  </si>
  <si>
    <t>MC FARLAND</t>
  </si>
  <si>
    <t>BUNDY</t>
  </si>
  <si>
    <t>CHERRY CREEK</t>
  </si>
  <si>
    <t>EUREKA</t>
  </si>
  <si>
    <t>IRISH BEND</t>
  </si>
  <si>
    <t>AIRLIE</t>
  </si>
  <si>
    <t>TENNESSEE</t>
  </si>
  <si>
    <t>NORATON</t>
  </si>
  <si>
    <t>INGRAM ISLAND</t>
  </si>
  <si>
    <t>PL</t>
  </si>
  <si>
    <t>DE ARMOND</t>
  </si>
  <si>
    <t>KIGER ISLAND</t>
  </si>
  <si>
    <t>OLD RIVER</t>
  </si>
  <si>
    <t>SMITH</t>
  </si>
  <si>
    <t>LP</t>
  </si>
  <si>
    <t>KINGS VALLEY</t>
  </si>
  <si>
    <t>SAUERKRAUT</t>
  </si>
  <si>
    <t>FOLSOM</t>
  </si>
  <si>
    <t>Delashmutt</t>
  </si>
  <si>
    <t>Ln</t>
  </si>
  <si>
    <t>WEST PERRYDALE</t>
  </si>
  <si>
    <t>DEJONG</t>
  </si>
  <si>
    <t>FUNKE</t>
  </si>
  <si>
    <t>RED PRAIRIE</t>
  </si>
  <si>
    <t>KURTZ</t>
  </si>
  <si>
    <t>BECK</t>
  </si>
  <si>
    <t>LN</t>
  </si>
  <si>
    <t>PERRYDALE</t>
  </si>
  <si>
    <t>Palmer Creek</t>
  </si>
  <si>
    <t>Lower Island</t>
  </si>
  <si>
    <t>PEORIA</t>
  </si>
  <si>
    <t>HERIGSTAD</t>
  </si>
  <si>
    <t>NE</t>
  </si>
  <si>
    <t>GLASS</t>
  </si>
  <si>
    <t>MCKAY</t>
  </si>
  <si>
    <t>GLASER</t>
  </si>
  <si>
    <t>CHAMPOEG</t>
  </si>
  <si>
    <t>KEENE</t>
  </si>
  <si>
    <t>TANGENT</t>
  </si>
  <si>
    <t>RIDGEWAY</t>
  </si>
  <si>
    <t>QUAIL</t>
  </si>
  <si>
    <t>ST</t>
  </si>
  <si>
    <t>WINDSOR ISLAND</t>
  </si>
  <si>
    <t>N</t>
  </si>
  <si>
    <t>HARVEST</t>
  </si>
  <si>
    <t>MCLAGAN</t>
  </si>
  <si>
    <t>RIDGE</t>
  </si>
  <si>
    <t>CHURCH</t>
  </si>
  <si>
    <t>June 4-6</t>
  </si>
  <si>
    <t>POWERLINE</t>
  </si>
  <si>
    <t>PINE GROVE</t>
  </si>
  <si>
    <t>POTTER</t>
  </si>
  <si>
    <t>DANNEN</t>
  </si>
  <si>
    <t>PECKENPAUGH</t>
  </si>
  <si>
    <t>CLOVERDALE</t>
  </si>
  <si>
    <t>BLUE BERRY</t>
  </si>
  <si>
    <t>CURTIS</t>
  </si>
  <si>
    <t>NORTHERN</t>
  </si>
  <si>
    <t>COBURG</t>
  </si>
  <si>
    <t>SEVEN MILE</t>
  </si>
  <si>
    <t>HENSHAW</t>
  </si>
  <si>
    <t>RANCH</t>
  </si>
  <si>
    <t>WILLAMETTE</t>
  </si>
  <si>
    <t>ALBANY-JUNCTION CITY</t>
  </si>
  <si>
    <t>COURTNEY CREEK</t>
  </si>
  <si>
    <t>HALSEY-SWEET HOME</t>
  </si>
  <si>
    <t>WIRTH</t>
  </si>
  <si>
    <t>AIRPORT</t>
  </si>
  <si>
    <t>SAND RIDGE</t>
  </si>
  <si>
    <t>BOONES FERRY</t>
  </si>
  <si>
    <t>SCOTCH CHURCH</t>
  </si>
  <si>
    <t>CORVALLIS-LEBANON</t>
  </si>
  <si>
    <t>DRIVER</t>
  </si>
  <si>
    <t>June 10-12</t>
  </si>
  <si>
    <t>OAK</t>
  </si>
  <si>
    <t>WOLCOTT</t>
  </si>
  <si>
    <t>OAKVILLE</t>
  </si>
  <si>
    <t>PARKER</t>
  </si>
  <si>
    <t>FERN</t>
  </si>
  <si>
    <t>FINLEY</t>
  </si>
  <si>
    <t>BELLFOUNTAIN</t>
  </si>
  <si>
    <t>JUNIPER</t>
  </si>
  <si>
    <t>SMITHFIELD</t>
  </si>
  <si>
    <t>LARDON</t>
  </si>
  <si>
    <t>WILLAMINA-SALEM</t>
  </si>
  <si>
    <t>FARMER</t>
  </si>
  <si>
    <t>COVILLE</t>
  </si>
  <si>
    <t>GREENWOOD</t>
  </si>
  <si>
    <t>Survey_Period_2025</t>
  </si>
  <si>
    <t>WITH BIRDS</t>
  </si>
  <si>
    <t>Acres</t>
  </si>
  <si>
    <t>Unadjusted NDVI suitable habitat</t>
  </si>
  <si>
    <t>Adjusted NDVI suitable habitat</t>
  </si>
  <si>
    <t>Difference</t>
  </si>
  <si>
    <t>Percent Difference</t>
  </si>
  <si>
    <t>Comparing Habitat Area with Unadjusted and Adjusted NDVI within 140 Survey Sites</t>
  </si>
  <si>
    <t>Concurrent Imagery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</si>
</sst>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Roboto"/>
    </font>
    <font>
      <b/>
      <sz val="10"/>
      <color theme="1"/>
      <name val="Roboto"/>
    </font>
    <font>
      <i/>
      <sz val="8"/>
      <color theme="1"/>
      <name val="Roboto"/>
    </font>
    <font>
      <vertAlign val="superscript"/>
      <sz val="10"/>
      <color theme="1"/>
      <name val="Roboto"/>
    </font>
    <font>
      <i/>
      <vertAlign val="superscript"/>
      <sz val="8"/>
      <color theme="1"/>
      <name val="Roboto"/>
    </font>
    <font>
      <b/>
      <sz val="11"/>
      <color theme="1"/>
      <name val=" roboto"/>
    </font>
    <font>
      <b/>
      <sz val="10"/>
      <color theme="0"/>
      <name val="Roboto"/>
    </font>
    <font>
      <b/>
      <i/>
      <sz val="10"/>
      <color theme="1"/>
      <name val="Roboto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9" fontId="0" fillId="0" borderId="0" xfId="1" applyFont="1"/>
    <xf numFmtId="0" fontId="0" fillId="0" borderId="0" xfId="0" applyAlignment="1">
      <alignment horizontal="right"/>
    </xf>
    <xf numFmtId="0" fontId="18" fillId="0" borderId="0" xfId="0" applyFont="1"/>
    <xf numFmtId="0" fontId="18" fillId="0" borderId="0" xfId="0" applyFont="1" applyAlignment="1">
      <alignment wrapText="1"/>
    </xf>
    <xf numFmtId="0" fontId="18" fillId="0" borderId="10" xfId="0" applyFont="1" applyBorder="1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9" fontId="18" fillId="0" borderId="0" xfId="1" applyFont="1" applyAlignment="1">
      <alignment horizontal="center"/>
    </xf>
    <xf numFmtId="0" fontId="19" fillId="33" borderId="0" xfId="0" applyFont="1" applyFill="1" applyAlignment="1">
      <alignment horizontal="center" vertical="center"/>
    </xf>
    <xf numFmtId="9" fontId="18" fillId="0" borderId="10" xfId="1" applyFont="1" applyBorder="1" applyAlignment="1">
      <alignment horizontal="center"/>
    </xf>
    <xf numFmtId="0" fontId="23" fillId="0" borderId="0" xfId="0" applyFont="1"/>
    <xf numFmtId="0" fontId="20" fillId="0" borderId="0" xfId="0" applyFont="1" applyAlignment="1">
      <alignment horizontal="left"/>
    </xf>
    <xf numFmtId="14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18" fillId="0" borderId="0" xfId="0" applyFont="1" applyBorder="1"/>
    <xf numFmtId="0" fontId="19" fillId="33" borderId="0" xfId="0" applyFont="1" applyFill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24" fillId="34" borderId="10" xfId="0" applyFont="1" applyFill="1" applyBorder="1" applyAlignment="1">
      <alignment vertical="center"/>
    </xf>
    <xf numFmtId="16" fontId="24" fillId="34" borderId="10" xfId="0" quotePrefix="1" applyNumberFormat="1" applyFont="1" applyFill="1" applyBorder="1" applyAlignment="1">
      <alignment horizontal="center" vertical="center"/>
    </xf>
    <xf numFmtId="0" fontId="24" fillId="34" borderId="10" xfId="0" quotePrefix="1" applyFont="1" applyFill="1" applyBorder="1" applyAlignment="1">
      <alignment horizontal="center" vertical="center"/>
    </xf>
    <xf numFmtId="14" fontId="0" fillId="0" borderId="0" xfId="0" applyNumberFormat="1"/>
    <xf numFmtId="9" fontId="0" fillId="0" borderId="0" xfId="0" applyNumberFormat="1"/>
    <xf numFmtId="0" fontId="25" fillId="0" borderId="0" xfId="0" applyFont="1" applyAlignment="1">
      <alignment horizontal="left" wrapText="1"/>
    </xf>
    <xf numFmtId="9" fontId="24" fillId="34" borderId="10" xfId="1" applyFont="1" applyFill="1" applyBorder="1" applyAlignment="1">
      <alignment vertical="center"/>
    </xf>
    <xf numFmtId="164" fontId="18" fillId="0" borderId="0" xfId="43" applyNumberFormat="1" applyFont="1"/>
    <xf numFmtId="0" fontId="19" fillId="0" borderId="10" xfId="0" applyFont="1" applyBorder="1" applyAlignment="1">
      <alignment horizontal="right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3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19</xdr:row>
      <xdr:rowOff>257175</xdr:rowOff>
    </xdr:from>
    <xdr:to>
      <xdr:col>8</xdr:col>
      <xdr:colOff>162385</xdr:colOff>
      <xdr:row>31</xdr:row>
      <xdr:rowOff>159112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329B1-E541-9BA3-BA36-12B18263A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9150" y="4257675"/>
          <a:ext cx="3296110" cy="2587987"/>
        </a:xfrm>
        <a:prstGeom prst="rect">
          <a:avLst/>
        </a:prstGeom>
        <a:ln w="12700" cap="sq">
          <a:solidFill>
            <a:schemeClr val="tx1">
              <a:lumMod val="75000"/>
              <a:lumOff val="25000"/>
            </a:schemeClr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3</xdr:col>
      <xdr:colOff>274635</xdr:colOff>
      <xdr:row>19</xdr:row>
      <xdr:rowOff>231774</xdr:rowOff>
    </xdr:from>
    <xdr:to>
      <xdr:col>4</xdr:col>
      <xdr:colOff>412749</xdr:colOff>
      <xdr:row>22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E44CBA-2481-C736-A497-91719470106E}"/>
            </a:ext>
          </a:extLst>
        </xdr:cNvPr>
        <xdr:cNvSpPr txBox="1"/>
      </xdr:nvSpPr>
      <xdr:spPr>
        <a:xfrm>
          <a:off x="4598985" y="4232274"/>
          <a:ext cx="1138239" cy="882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i="1">
              <a:solidFill>
                <a:schemeClr val="bg2">
                  <a:lumMod val="50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Unadjusted habitat is  light</a:t>
          </a:r>
          <a:r>
            <a:rPr lang="en-US" sz="1000" i="1" baseline="0">
              <a:solidFill>
                <a:schemeClr val="bg2">
                  <a:lumMod val="50000"/>
                </a:schemeClr>
              </a:solidFill>
              <a:latin typeface="Roboto" panose="02000000000000000000" pitchFamily="2" charset="0"/>
              <a:ea typeface="Roboto" panose="02000000000000000000" pitchFamily="2" charset="0"/>
            </a:rPr>
            <a:t> orange, adjusted habitat is dark orange</a:t>
          </a:r>
          <a:endParaRPr lang="en-US" sz="1000" i="1">
            <a:solidFill>
              <a:schemeClr val="bg2">
                <a:lumMod val="50000"/>
              </a:schemeClr>
            </a:solidFill>
            <a:latin typeface="Roboto" panose="02000000000000000000" pitchFamily="2" charset="0"/>
            <a:ea typeface="Roboto" panose="02000000000000000000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44CD-945C-40B7-B2EC-06CF006C81CC}">
  <dimension ref="A1:D25"/>
  <sheetViews>
    <sheetView tabSelected="1" workbookViewId="0">
      <selection activeCell="H6" sqref="H6"/>
    </sheetView>
  </sheetViews>
  <sheetFormatPr defaultRowHeight="14.5"/>
  <cols>
    <col min="1" max="1" width="33.26953125" customWidth="1"/>
    <col min="2" max="4" width="14.26953125" bestFit="1" customWidth="1"/>
  </cols>
  <sheetData>
    <row r="1" spans="1:4">
      <c r="A1" s="12" t="s">
        <v>27</v>
      </c>
    </row>
    <row r="2" spans="1:4">
      <c r="A2" s="13" t="s">
        <v>26</v>
      </c>
    </row>
    <row r="3" spans="1:4">
      <c r="A3" s="14">
        <v>46002</v>
      </c>
    </row>
    <row r="4" spans="1:4">
      <c r="B4" s="10" t="s">
        <v>20</v>
      </c>
      <c r="C4" s="8" t="s">
        <v>21</v>
      </c>
      <c r="D4" s="10" t="s">
        <v>22</v>
      </c>
    </row>
    <row r="5" spans="1:4" ht="20.25" customHeight="1">
      <c r="A5" s="17"/>
      <c r="B5" s="18" t="s">
        <v>29</v>
      </c>
      <c r="C5" s="19" t="s">
        <v>30</v>
      </c>
      <c r="D5" s="18" t="s">
        <v>31</v>
      </c>
    </row>
    <row r="6" spans="1:4" ht="20.25" customHeight="1">
      <c r="A6" s="20" t="s">
        <v>201</v>
      </c>
      <c r="B6" s="21" t="s">
        <v>34</v>
      </c>
      <c r="C6" s="21" t="s">
        <v>32</v>
      </c>
      <c r="D6" s="22" t="s">
        <v>33</v>
      </c>
    </row>
    <row r="7" spans="1:4" ht="15">
      <c r="A7" s="4" t="s">
        <v>24</v>
      </c>
      <c r="B7" s="7">
        <v>56</v>
      </c>
      <c r="C7" s="7">
        <v>25</v>
      </c>
      <c r="D7" s="7">
        <v>23</v>
      </c>
    </row>
    <row r="8" spans="1:4" ht="15">
      <c r="A8" s="4" t="s">
        <v>25</v>
      </c>
      <c r="B8" s="7">
        <v>25</v>
      </c>
      <c r="C8" s="7">
        <v>8</v>
      </c>
      <c r="D8" s="7">
        <v>3</v>
      </c>
    </row>
    <row r="9" spans="1:4">
      <c r="A9" s="4" t="s">
        <v>23</v>
      </c>
      <c r="B9" s="7">
        <v>81</v>
      </c>
      <c r="C9" s="7">
        <v>33</v>
      </c>
      <c r="D9" s="7">
        <v>26</v>
      </c>
    </row>
    <row r="10" spans="1:4">
      <c r="A10" s="4"/>
      <c r="B10" s="7"/>
      <c r="C10" s="7"/>
      <c r="D10" s="7"/>
    </row>
    <row r="11" spans="1:4">
      <c r="A11" s="4" t="s">
        <v>14</v>
      </c>
      <c r="B11" s="7">
        <v>21</v>
      </c>
      <c r="C11" s="7">
        <v>18</v>
      </c>
      <c r="D11" s="7">
        <v>9</v>
      </c>
    </row>
    <row r="12" spans="1:4">
      <c r="A12" s="4" t="s">
        <v>15</v>
      </c>
      <c r="B12" s="7">
        <v>14</v>
      </c>
      <c r="C12" s="7">
        <v>10</v>
      </c>
      <c r="D12" s="7">
        <v>5</v>
      </c>
    </row>
    <row r="13" spans="1:4" ht="27" customHeight="1">
      <c r="A13" s="5" t="s">
        <v>16</v>
      </c>
      <c r="B13" s="9">
        <v>0.14040884999999997</v>
      </c>
      <c r="C13" s="9">
        <v>7.1929430000000003E-2</v>
      </c>
      <c r="D13" s="9">
        <v>3.8051092307692311E-2</v>
      </c>
    </row>
    <row r="14" spans="1:4">
      <c r="A14" s="4" t="s">
        <v>17</v>
      </c>
      <c r="B14" s="9">
        <v>0</v>
      </c>
      <c r="C14" s="9">
        <v>0</v>
      </c>
      <c r="D14" s="9">
        <v>6.8280000000000001E-4</v>
      </c>
    </row>
    <row r="15" spans="1:4">
      <c r="A15" s="4" t="s">
        <v>18</v>
      </c>
      <c r="B15" s="9">
        <v>0.95278459999999998</v>
      </c>
      <c r="C15" s="9">
        <v>0.49061379999999999</v>
      </c>
      <c r="D15" s="9">
        <v>0.35402549999999999</v>
      </c>
    </row>
    <row r="16" spans="1:4">
      <c r="A16" s="6" t="s">
        <v>19</v>
      </c>
      <c r="B16" s="11">
        <v>7.9576999999999998E-3</v>
      </c>
      <c r="C16" s="11">
        <v>5.5703999999999997E-3</v>
      </c>
      <c r="D16" s="11">
        <v>2.7587000000000002E-3</v>
      </c>
    </row>
    <row r="18" spans="1:4">
      <c r="A18" s="16" t="s">
        <v>28</v>
      </c>
      <c r="B18" s="16"/>
      <c r="C18" s="16"/>
      <c r="D18" s="16"/>
    </row>
    <row r="19" spans="1:4" ht="32" customHeight="1">
      <c r="A19" s="16"/>
      <c r="B19" s="16"/>
      <c r="C19" s="16"/>
      <c r="D19" s="16"/>
    </row>
    <row r="20" spans="1:4" ht="47" customHeight="1">
      <c r="A20" s="25" t="s">
        <v>200</v>
      </c>
      <c r="B20" s="15"/>
      <c r="C20" s="15"/>
      <c r="D20" s="15"/>
    </row>
    <row r="21" spans="1:4">
      <c r="A21" s="6"/>
      <c r="B21" s="6"/>
      <c r="C21" s="28" t="s">
        <v>195</v>
      </c>
    </row>
    <row r="22" spans="1:4">
      <c r="A22" s="4" t="s">
        <v>196</v>
      </c>
      <c r="B22" s="4"/>
      <c r="C22" s="27">
        <v>784.85608197750003</v>
      </c>
    </row>
    <row r="23" spans="1:4">
      <c r="A23" s="4" t="s">
        <v>197</v>
      </c>
      <c r="B23" s="4"/>
      <c r="C23" s="27">
        <v>1131.5943823381999</v>
      </c>
    </row>
    <row r="24" spans="1:4">
      <c r="A24" s="4" t="s">
        <v>198</v>
      </c>
      <c r="B24" s="4"/>
      <c r="C24" s="27">
        <f>C23-C22</f>
        <v>346.7383003606999</v>
      </c>
    </row>
    <row r="25" spans="1:4" ht="21.5" customHeight="1">
      <c r="A25" s="20" t="s">
        <v>199</v>
      </c>
      <c r="B25" s="20"/>
      <c r="C25" s="26">
        <f>(C23-C22)/C22</f>
        <v>0.44178583605680727</v>
      </c>
    </row>
  </sheetData>
  <mergeCells count="1">
    <mergeCell ref="A18:D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59CC-434B-4792-AEB5-5D73E2E9088A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8147-90C8-4E46-B3A6-1AA7BD15AD4D}">
  <dimension ref="A1:BF142"/>
  <sheetViews>
    <sheetView topLeftCell="AM115" zoomScaleNormal="100" workbookViewId="0">
      <selection activeCell="AV143" sqref="AV143"/>
    </sheetView>
  </sheetViews>
  <sheetFormatPr defaultRowHeight="14.5"/>
  <cols>
    <col min="2" max="2" width="21" bestFit="1" customWidth="1"/>
    <col min="3" max="3" width="4.90625" bestFit="1" customWidth="1"/>
    <col min="4" max="4" width="6.6328125" bestFit="1" customWidth="1"/>
    <col min="5" max="5" width="9.54296875" bestFit="1" customWidth="1"/>
    <col min="6" max="6" width="7.81640625" bestFit="1" customWidth="1"/>
    <col min="7" max="7" width="10.81640625" bestFit="1" customWidth="1"/>
    <col min="8" max="8" width="12.81640625" bestFit="1" customWidth="1"/>
    <col min="9" max="9" width="9.36328125" bestFit="1" customWidth="1"/>
    <col min="10" max="13" width="9.08984375" bestFit="1" customWidth="1"/>
    <col min="14" max="17" width="15.6328125" bestFit="1" customWidth="1"/>
    <col min="18" max="18" width="12.453125" bestFit="1" customWidth="1"/>
    <col min="19" max="19" width="10.81640625" bestFit="1" customWidth="1"/>
    <col min="20" max="20" width="12.54296875" bestFit="1" customWidth="1"/>
    <col min="21" max="21" width="19.08984375" bestFit="1" customWidth="1"/>
    <col min="22" max="22" width="15.90625" bestFit="1" customWidth="1"/>
    <col min="23" max="23" width="11.81640625" bestFit="1" customWidth="1"/>
    <col min="24" max="24" width="9.81640625" bestFit="1" customWidth="1"/>
    <col min="25" max="25" width="13.08984375" bestFit="1" customWidth="1"/>
    <col min="26" max="26" width="14.7265625" bestFit="1" customWidth="1"/>
    <col min="27" max="27" width="9.08984375" bestFit="1" customWidth="1"/>
    <col min="28" max="28" width="15.90625" bestFit="1" customWidth="1"/>
    <col min="29" max="29" width="15.6328125" bestFit="1" customWidth="1"/>
    <col min="30" max="30" width="10.90625" bestFit="1" customWidth="1"/>
    <col min="31" max="31" width="9.08984375" bestFit="1" customWidth="1"/>
    <col min="32" max="32" width="15.90625" bestFit="1" customWidth="1"/>
    <col min="33" max="33" width="15.6328125" bestFit="1" customWidth="1"/>
    <col min="34" max="34" width="13.6328125" bestFit="1" customWidth="1"/>
    <col min="35" max="35" width="10.81640625" bestFit="1" customWidth="1"/>
    <col min="36" max="36" width="15.90625" bestFit="1" customWidth="1"/>
    <col min="37" max="37" width="10.90625" bestFit="1" customWidth="1"/>
    <col min="38" max="38" width="15.90625" bestFit="1" customWidth="1"/>
    <col min="39" max="39" width="10.90625" bestFit="1" customWidth="1"/>
    <col min="40" max="40" width="15.54296875" bestFit="1" customWidth="1"/>
    <col min="41" max="41" width="10.6328125" bestFit="1" customWidth="1"/>
    <col min="42" max="42" width="13.90625" bestFit="1" customWidth="1"/>
    <col min="43" max="43" width="11.1796875" bestFit="1" customWidth="1"/>
    <col min="44" max="44" width="14.1796875" bestFit="1" customWidth="1"/>
    <col min="45" max="45" width="4.81640625" bestFit="1" customWidth="1"/>
    <col min="46" max="46" width="13.1796875" bestFit="1" customWidth="1"/>
    <col min="47" max="47" width="19.7265625" bestFit="1" customWidth="1"/>
    <col min="48" max="48" width="15.90625" customWidth="1"/>
    <col min="49" max="50" width="9.81640625" bestFit="1" customWidth="1"/>
    <col min="51" max="51" width="12.54296875" bestFit="1" customWidth="1"/>
    <col min="52" max="52" width="11.81640625" bestFit="1" customWidth="1"/>
    <col min="53" max="53" width="23.26953125" bestFit="1" customWidth="1"/>
    <col min="54" max="55" width="23.453125" bestFit="1" customWidth="1"/>
    <col min="56" max="56" width="27.08984375" bestFit="1" customWidth="1"/>
    <col min="57" max="58" width="27.54296875" bestFit="1" customWidth="1"/>
  </cols>
  <sheetData>
    <row r="1" spans="1:58">
      <c r="A1" t="s">
        <v>7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0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</v>
      </c>
      <c r="X1" t="s">
        <v>6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8</v>
      </c>
      <c r="AR1" t="s">
        <v>1</v>
      </c>
      <c r="AS1" t="s">
        <v>2</v>
      </c>
      <c r="AT1" t="s">
        <v>3</v>
      </c>
      <c r="AU1" t="s">
        <v>193</v>
      </c>
      <c r="AV1" t="s">
        <v>4</v>
      </c>
      <c r="AW1" t="s">
        <v>73</v>
      </c>
      <c r="AX1" t="s">
        <v>74</v>
      </c>
      <c r="AY1" t="s">
        <v>9</v>
      </c>
      <c r="AZ1" t="s">
        <v>10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</row>
    <row r="2" spans="1:58">
      <c r="A2">
        <v>318</v>
      </c>
      <c r="B2" t="s">
        <v>81</v>
      </c>
      <c r="C2" t="s">
        <v>82</v>
      </c>
      <c r="D2" t="s">
        <v>83</v>
      </c>
      <c r="F2" t="s">
        <v>84</v>
      </c>
      <c r="H2">
        <v>1</v>
      </c>
      <c r="I2">
        <v>222</v>
      </c>
      <c r="J2">
        <v>6</v>
      </c>
      <c r="K2">
        <v>6</v>
      </c>
      <c r="L2">
        <v>5</v>
      </c>
      <c r="M2">
        <v>8</v>
      </c>
      <c r="N2">
        <v>0.59799999999999998</v>
      </c>
      <c r="O2">
        <v>0.59799999999999998</v>
      </c>
      <c r="P2">
        <v>0.5</v>
      </c>
      <c r="Q2">
        <v>0.79400000000000004</v>
      </c>
      <c r="R2">
        <v>-123.1465912</v>
      </c>
      <c r="S2">
        <v>45.307052599999999</v>
      </c>
      <c r="T2">
        <v>6.25</v>
      </c>
      <c r="U2">
        <v>0.73058829999999997</v>
      </c>
      <c r="V2">
        <v>1.09453E-2</v>
      </c>
      <c r="W2">
        <v>488508</v>
      </c>
      <c r="X2">
        <v>5017071.5</v>
      </c>
      <c r="Y2">
        <v>0</v>
      </c>
      <c r="AA2">
        <v>5</v>
      </c>
      <c r="AB2">
        <v>0</v>
      </c>
      <c r="AC2">
        <v>0.5</v>
      </c>
      <c r="AD2">
        <v>0</v>
      </c>
      <c r="AE2">
        <v>4</v>
      </c>
      <c r="AF2">
        <v>0</v>
      </c>
      <c r="AG2">
        <v>0.40200000000000002</v>
      </c>
      <c r="AH2">
        <v>0</v>
      </c>
      <c r="AI2">
        <v>31.052177400000001</v>
      </c>
      <c r="AJ2">
        <v>1E-4</v>
      </c>
      <c r="AK2">
        <v>0</v>
      </c>
      <c r="AL2">
        <v>1E-3</v>
      </c>
      <c r="AM2">
        <v>0</v>
      </c>
      <c r="AN2">
        <v>1</v>
      </c>
      <c r="AO2">
        <v>33</v>
      </c>
      <c r="AP2">
        <v>33</v>
      </c>
      <c r="AQ2">
        <v>222</v>
      </c>
      <c r="AR2">
        <v>739</v>
      </c>
      <c r="AS2">
        <v>2025</v>
      </c>
      <c r="AT2" s="23">
        <v>45791</v>
      </c>
      <c r="AU2" s="23" t="s">
        <v>29</v>
      </c>
      <c r="AV2">
        <v>0</v>
      </c>
      <c r="AW2">
        <v>488508</v>
      </c>
      <c r="AX2">
        <v>5017071.5</v>
      </c>
      <c r="AY2">
        <v>1256.63706143591</v>
      </c>
      <c r="AZ2">
        <v>125663.706143591</v>
      </c>
      <c r="BA2">
        <v>3.1830999999999999E-3</v>
      </c>
      <c r="BB2">
        <v>1.5915E-3</v>
      </c>
      <c r="BC2">
        <v>3.9788999999999996E-3</v>
      </c>
      <c r="BD2">
        <v>2.1830999999999999E-3</v>
      </c>
      <c r="BE2">
        <v>5.9150000000000001E-4</v>
      </c>
      <c r="BF2">
        <v>2.9789E-3</v>
      </c>
    </row>
    <row r="3" spans="1:58">
      <c r="A3">
        <v>1739</v>
      </c>
      <c r="B3" t="s">
        <v>85</v>
      </c>
      <c r="C3" t="s">
        <v>86</v>
      </c>
      <c r="D3" t="s">
        <v>11</v>
      </c>
      <c r="G3" s="23">
        <v>43668</v>
      </c>
      <c r="H3">
        <v>2</v>
      </c>
      <c r="I3">
        <v>1963</v>
      </c>
      <c r="J3">
        <v>6</v>
      </c>
      <c r="K3">
        <v>5</v>
      </c>
      <c r="L3">
        <v>6</v>
      </c>
      <c r="M3">
        <v>8</v>
      </c>
      <c r="N3">
        <v>0.59799999999999998</v>
      </c>
      <c r="O3">
        <v>0.5</v>
      </c>
      <c r="P3">
        <v>0.59799999999999998</v>
      </c>
      <c r="Q3">
        <v>0.79400000000000004</v>
      </c>
      <c r="R3">
        <v>-123.12285610000001</v>
      </c>
      <c r="S3">
        <v>44.762069699999998</v>
      </c>
      <c r="T3">
        <v>6.25</v>
      </c>
      <c r="U3">
        <v>0.73058829999999997</v>
      </c>
      <c r="V3">
        <v>2.6387399999999998E-2</v>
      </c>
      <c r="W3">
        <v>490277.3125</v>
      </c>
      <c r="X3">
        <v>4956527</v>
      </c>
      <c r="Y3">
        <v>0</v>
      </c>
      <c r="AA3">
        <v>7</v>
      </c>
      <c r="AB3">
        <v>4.6987399999999999E-2</v>
      </c>
      <c r="AC3">
        <v>0.69599999999999995</v>
      </c>
      <c r="AD3">
        <v>1</v>
      </c>
      <c r="AE3">
        <v>8</v>
      </c>
      <c r="AF3">
        <v>6.8692100000000006E-2</v>
      </c>
      <c r="AG3">
        <v>0.79400000000000004</v>
      </c>
      <c r="AH3">
        <v>0</v>
      </c>
      <c r="AI3">
        <v>31.052177400000001</v>
      </c>
      <c r="AJ3">
        <v>0.187449</v>
      </c>
      <c r="AK3">
        <v>1</v>
      </c>
      <c r="AL3">
        <v>0.78547100000000003</v>
      </c>
      <c r="AM3">
        <v>1</v>
      </c>
      <c r="AN3">
        <v>1</v>
      </c>
      <c r="AO3">
        <v>30</v>
      </c>
      <c r="AP3">
        <v>30</v>
      </c>
      <c r="AQ3">
        <v>1963</v>
      </c>
      <c r="AR3">
        <v>736</v>
      </c>
      <c r="AS3">
        <v>2025</v>
      </c>
      <c r="AT3" s="23">
        <v>45791</v>
      </c>
      <c r="AU3" s="23" t="s">
        <v>29</v>
      </c>
      <c r="AV3">
        <v>0</v>
      </c>
      <c r="AW3">
        <v>490277.30999999901</v>
      </c>
      <c r="AX3">
        <v>4956527</v>
      </c>
      <c r="AY3">
        <v>1256.63706143591</v>
      </c>
      <c r="AZ3">
        <v>125663.706143591</v>
      </c>
      <c r="BA3">
        <v>0.82129600000000003</v>
      </c>
      <c r="BB3">
        <v>0.78799830000000004</v>
      </c>
      <c r="BC3">
        <v>0.80031669999999999</v>
      </c>
      <c r="BD3">
        <v>3.5825000000000003E-2</v>
      </c>
      <c r="BE3">
        <v>2.5273000000000001E-3</v>
      </c>
      <c r="BF3">
        <v>1.48457E-2</v>
      </c>
    </row>
    <row r="4" spans="1:58">
      <c r="A4">
        <v>2460</v>
      </c>
      <c r="B4" t="s">
        <v>87</v>
      </c>
      <c r="C4" t="s">
        <v>88</v>
      </c>
      <c r="G4" s="23">
        <v>43668</v>
      </c>
      <c r="H4">
        <v>2</v>
      </c>
      <c r="I4">
        <v>2580</v>
      </c>
      <c r="J4">
        <v>8</v>
      </c>
      <c r="K4">
        <v>8</v>
      </c>
      <c r="L4">
        <v>5</v>
      </c>
      <c r="M4">
        <v>6</v>
      </c>
      <c r="N4">
        <v>0.79400000000000004</v>
      </c>
      <c r="O4">
        <v>0.79400000000000004</v>
      </c>
      <c r="P4">
        <v>0.5</v>
      </c>
      <c r="Q4">
        <v>0.59799999999999998</v>
      </c>
      <c r="R4">
        <v>-123.1195984</v>
      </c>
      <c r="S4">
        <v>44.722629499999996</v>
      </c>
      <c r="T4">
        <v>6.75</v>
      </c>
      <c r="U4">
        <v>0.78823529999999997</v>
      </c>
      <c r="V4">
        <v>0</v>
      </c>
      <c r="W4">
        <v>490528.5</v>
      </c>
      <c r="X4">
        <v>4952145.5</v>
      </c>
      <c r="Y4">
        <v>0</v>
      </c>
      <c r="AA4">
        <v>5</v>
      </c>
      <c r="AB4">
        <v>6.6660000000000005E-4</v>
      </c>
      <c r="AC4">
        <v>0.5</v>
      </c>
      <c r="AD4">
        <v>0</v>
      </c>
      <c r="AE4">
        <v>8</v>
      </c>
      <c r="AF4">
        <v>0.29740480000000002</v>
      </c>
      <c r="AG4">
        <v>0.79400000000000004</v>
      </c>
      <c r="AH4">
        <v>1</v>
      </c>
      <c r="AI4">
        <v>31.052177400000001</v>
      </c>
      <c r="AJ4">
        <v>3.9788999999999996E-3</v>
      </c>
      <c r="AK4">
        <v>1</v>
      </c>
      <c r="AL4">
        <v>0.27783960000000002</v>
      </c>
      <c r="AM4">
        <v>1</v>
      </c>
      <c r="AN4">
        <v>1</v>
      </c>
      <c r="AO4">
        <v>128</v>
      </c>
      <c r="AP4">
        <v>128</v>
      </c>
      <c r="AQ4">
        <v>2580</v>
      </c>
      <c r="AR4">
        <v>743</v>
      </c>
      <c r="AS4">
        <v>2025</v>
      </c>
      <c r="AT4" s="23">
        <v>45791</v>
      </c>
      <c r="AU4" s="23" t="s">
        <v>29</v>
      </c>
      <c r="AV4">
        <v>0</v>
      </c>
      <c r="AW4">
        <v>490528.5</v>
      </c>
      <c r="AX4">
        <v>4952145.5</v>
      </c>
      <c r="AY4">
        <v>1256.63706143591</v>
      </c>
      <c r="AZ4">
        <v>125663.706143591</v>
      </c>
      <c r="BA4">
        <v>0.298093</v>
      </c>
      <c r="BB4">
        <v>4.9019999999999999E-4</v>
      </c>
      <c r="BC4">
        <v>4.9039999999999999E-4</v>
      </c>
      <c r="BD4">
        <v>2.0253400000000001E-2</v>
      </c>
      <c r="BE4">
        <v>-0.27734940000000002</v>
      </c>
      <c r="BF4">
        <v>-0.27734920000000002</v>
      </c>
    </row>
    <row r="5" spans="1:58">
      <c r="A5">
        <v>2464</v>
      </c>
      <c r="B5" t="s">
        <v>87</v>
      </c>
      <c r="C5" t="s">
        <v>88</v>
      </c>
      <c r="G5" s="23">
        <v>43668</v>
      </c>
      <c r="H5">
        <v>2</v>
      </c>
      <c r="I5">
        <v>2584</v>
      </c>
      <c r="J5">
        <v>7</v>
      </c>
      <c r="K5">
        <v>6</v>
      </c>
      <c r="L5">
        <v>5</v>
      </c>
      <c r="M5">
        <v>8</v>
      </c>
      <c r="N5">
        <v>0.69599999999999995</v>
      </c>
      <c r="O5">
        <v>0.59799999999999998</v>
      </c>
      <c r="P5">
        <v>0.5</v>
      </c>
      <c r="Q5">
        <v>0.79400000000000004</v>
      </c>
      <c r="R5">
        <v>-123.0982056</v>
      </c>
      <c r="S5">
        <v>44.729465500000003</v>
      </c>
      <c r="T5">
        <v>6.5</v>
      </c>
      <c r="U5">
        <v>0.75941179999999997</v>
      </c>
      <c r="V5">
        <v>3.6825499999999997E-2</v>
      </c>
      <c r="W5">
        <v>492223.875</v>
      </c>
      <c r="X5">
        <v>4952903</v>
      </c>
      <c r="Y5">
        <v>0</v>
      </c>
      <c r="AA5">
        <v>8</v>
      </c>
      <c r="AB5">
        <v>9.4576400000000005E-2</v>
      </c>
      <c r="AC5">
        <v>0.79400000000000004</v>
      </c>
      <c r="AD5">
        <v>0</v>
      </c>
      <c r="AE5">
        <v>8</v>
      </c>
      <c r="AF5">
        <v>0.1245397</v>
      </c>
      <c r="AG5">
        <v>0.79400000000000004</v>
      </c>
      <c r="AH5">
        <v>1</v>
      </c>
      <c r="AI5">
        <v>31.052177400000001</v>
      </c>
      <c r="AJ5">
        <v>1E-4</v>
      </c>
      <c r="AK5">
        <v>0</v>
      </c>
      <c r="AL5">
        <v>0.289821</v>
      </c>
      <c r="AM5">
        <v>1</v>
      </c>
      <c r="AN5">
        <v>1</v>
      </c>
      <c r="AO5">
        <v>127</v>
      </c>
      <c r="AP5">
        <v>127</v>
      </c>
      <c r="AQ5">
        <v>2584</v>
      </c>
      <c r="AR5">
        <v>742</v>
      </c>
      <c r="AS5">
        <v>2025</v>
      </c>
      <c r="AT5" s="23">
        <v>45791</v>
      </c>
      <c r="AU5" s="23" t="s">
        <v>29</v>
      </c>
      <c r="AV5">
        <v>0</v>
      </c>
      <c r="AW5">
        <v>492223.86999999901</v>
      </c>
      <c r="AX5">
        <v>4952903</v>
      </c>
      <c r="AY5">
        <v>1256.63706143591</v>
      </c>
      <c r="AZ5">
        <v>125663.706143591</v>
      </c>
      <c r="BA5">
        <v>6.4166699999999993E-2</v>
      </c>
      <c r="BB5">
        <v>6.2640000000000005E-4</v>
      </c>
      <c r="BC5">
        <v>7.9580000000000004E-4</v>
      </c>
      <c r="BD5">
        <v>-0.2256543</v>
      </c>
      <c r="BE5">
        <v>-0.28919460000000002</v>
      </c>
      <c r="BF5">
        <v>-0.28902519999999998</v>
      </c>
    </row>
    <row r="6" spans="1:58">
      <c r="A6">
        <v>2921</v>
      </c>
      <c r="B6" t="s">
        <v>89</v>
      </c>
      <c r="C6" t="s">
        <v>86</v>
      </c>
      <c r="D6" t="s">
        <v>11</v>
      </c>
      <c r="G6" s="23">
        <v>43668</v>
      </c>
      <c r="H6">
        <v>2</v>
      </c>
      <c r="I6">
        <v>2950</v>
      </c>
      <c r="J6">
        <v>8</v>
      </c>
      <c r="K6">
        <v>6</v>
      </c>
      <c r="L6">
        <v>6</v>
      </c>
      <c r="M6">
        <v>7</v>
      </c>
      <c r="N6">
        <v>0.79400000000000004</v>
      </c>
      <c r="O6">
        <v>0.59799999999999998</v>
      </c>
      <c r="P6">
        <v>0.59799999999999998</v>
      </c>
      <c r="Q6">
        <v>0.69599999999999995</v>
      </c>
      <c r="R6">
        <v>-123.12856290000001</v>
      </c>
      <c r="S6">
        <v>44.772472399999998</v>
      </c>
      <c r="T6">
        <v>6.75</v>
      </c>
      <c r="U6">
        <v>0.78823529999999997</v>
      </c>
      <c r="V6">
        <v>0</v>
      </c>
      <c r="W6">
        <v>489827.375</v>
      </c>
      <c r="X6">
        <v>4957683.5</v>
      </c>
      <c r="Y6">
        <v>0</v>
      </c>
      <c r="AA6">
        <v>6</v>
      </c>
      <c r="AB6">
        <v>4.9540000000000001E-3</v>
      </c>
      <c r="AC6">
        <v>0.59799999999999998</v>
      </c>
      <c r="AD6">
        <v>0</v>
      </c>
      <c r="AE6">
        <v>6</v>
      </c>
      <c r="AF6">
        <v>5.9626999999999996E-3</v>
      </c>
      <c r="AG6">
        <v>0.59799999999999998</v>
      </c>
      <c r="AH6">
        <v>0</v>
      </c>
      <c r="AI6">
        <v>31.052177400000001</v>
      </c>
      <c r="AJ6">
        <v>0.20595740000000001</v>
      </c>
      <c r="AK6">
        <v>1</v>
      </c>
      <c r="AL6">
        <v>0.36297370000000001</v>
      </c>
      <c r="AM6">
        <v>1</v>
      </c>
      <c r="AN6">
        <v>1</v>
      </c>
      <c r="AO6">
        <v>29</v>
      </c>
      <c r="AP6">
        <v>29</v>
      </c>
      <c r="AQ6">
        <v>2950</v>
      </c>
      <c r="AR6">
        <v>735</v>
      </c>
      <c r="AS6">
        <v>2025</v>
      </c>
      <c r="AT6" s="23">
        <v>45791</v>
      </c>
      <c r="AU6" s="23" t="s">
        <v>29</v>
      </c>
      <c r="AV6">
        <v>0</v>
      </c>
      <c r="AW6">
        <v>489827.36999999901</v>
      </c>
      <c r="AX6">
        <v>4957683.5</v>
      </c>
      <c r="AY6">
        <v>1256.63706143591</v>
      </c>
      <c r="AZ6">
        <v>125663.706143591</v>
      </c>
      <c r="BA6">
        <v>0.23259779999999999</v>
      </c>
      <c r="BB6">
        <v>0.20873720000000001</v>
      </c>
      <c r="BC6">
        <v>0.239146</v>
      </c>
      <c r="BD6">
        <v>-0.13037589999999999</v>
      </c>
      <c r="BE6">
        <v>-0.1542365</v>
      </c>
      <c r="BF6">
        <v>-0.1238278</v>
      </c>
    </row>
    <row r="7" spans="1:58">
      <c r="A7">
        <v>3275</v>
      </c>
      <c r="B7" t="s">
        <v>90</v>
      </c>
      <c r="C7" t="s">
        <v>86</v>
      </c>
      <c r="G7" s="23">
        <v>43668</v>
      </c>
      <c r="H7">
        <v>2</v>
      </c>
      <c r="I7">
        <v>3213</v>
      </c>
      <c r="J7">
        <v>5</v>
      </c>
      <c r="K7">
        <v>6</v>
      </c>
      <c r="L7">
        <v>5</v>
      </c>
      <c r="M7">
        <v>8</v>
      </c>
      <c r="N7">
        <v>0.5</v>
      </c>
      <c r="O7">
        <v>0.59799999999999998</v>
      </c>
      <c r="P7">
        <v>0.5</v>
      </c>
      <c r="Q7">
        <v>0.79400000000000004</v>
      </c>
      <c r="R7">
        <v>-123.0870285</v>
      </c>
      <c r="S7">
        <v>44.682838400000001</v>
      </c>
      <c r="T7">
        <v>6</v>
      </c>
      <c r="U7">
        <v>0.70176470000000002</v>
      </c>
      <c r="V7">
        <v>1.8030999999999998E-2</v>
      </c>
      <c r="W7">
        <v>493102.8125</v>
      </c>
      <c r="X7">
        <v>4947722.5</v>
      </c>
      <c r="Y7">
        <v>0</v>
      </c>
      <c r="AA7">
        <v>7</v>
      </c>
      <c r="AB7">
        <v>3.6898E-3</v>
      </c>
      <c r="AC7">
        <v>0.69599999999999995</v>
      </c>
      <c r="AD7">
        <v>0</v>
      </c>
      <c r="AE7">
        <v>8</v>
      </c>
      <c r="AF7">
        <v>0.45828360000000001</v>
      </c>
      <c r="AG7">
        <v>0.79400000000000004</v>
      </c>
      <c r="AH7">
        <v>0</v>
      </c>
      <c r="AI7">
        <v>31.052177400000001</v>
      </c>
      <c r="AJ7">
        <v>0.33597729999999998</v>
      </c>
      <c r="AK7">
        <v>1</v>
      </c>
      <c r="AL7">
        <v>0.2689259</v>
      </c>
      <c r="AM7">
        <v>1</v>
      </c>
      <c r="AN7">
        <v>1</v>
      </c>
      <c r="AO7">
        <v>129</v>
      </c>
      <c r="AP7">
        <v>129</v>
      </c>
      <c r="AQ7">
        <v>3213</v>
      </c>
      <c r="AR7">
        <v>744</v>
      </c>
      <c r="AS7">
        <v>2025</v>
      </c>
      <c r="AT7" s="23">
        <v>45791</v>
      </c>
      <c r="AU7" s="23" t="s">
        <v>29</v>
      </c>
      <c r="AV7">
        <v>0</v>
      </c>
      <c r="AW7">
        <v>493102.80999999901</v>
      </c>
      <c r="AX7">
        <v>4947722.5</v>
      </c>
      <c r="AY7">
        <v>1256.63706143591</v>
      </c>
      <c r="AZ7">
        <v>125663.706143591</v>
      </c>
      <c r="BA7">
        <v>0.26873419999999998</v>
      </c>
      <c r="BB7">
        <v>0.27270810000000001</v>
      </c>
      <c r="BC7">
        <v>0.2671424</v>
      </c>
      <c r="BD7">
        <v>-1.918E-4</v>
      </c>
      <c r="BE7">
        <v>3.7821999999999999E-3</v>
      </c>
      <c r="BF7">
        <v>-1.7834999999999999E-3</v>
      </c>
    </row>
    <row r="8" spans="1:58">
      <c r="A8">
        <v>3301</v>
      </c>
      <c r="B8" t="s">
        <v>91</v>
      </c>
      <c r="C8" t="s">
        <v>88</v>
      </c>
      <c r="G8" s="23">
        <v>43668</v>
      </c>
      <c r="H8">
        <v>2</v>
      </c>
      <c r="I8">
        <v>3232</v>
      </c>
      <c r="J8">
        <v>7</v>
      </c>
      <c r="K8">
        <v>6</v>
      </c>
      <c r="L8">
        <v>6</v>
      </c>
      <c r="M8">
        <v>6</v>
      </c>
      <c r="N8">
        <v>0.69599999999999995</v>
      </c>
      <c r="O8">
        <v>0.59799999999999998</v>
      </c>
      <c r="P8">
        <v>0.59799999999999998</v>
      </c>
      <c r="Q8">
        <v>0.59799999999999998</v>
      </c>
      <c r="R8">
        <v>-123.1111832</v>
      </c>
      <c r="S8">
        <v>44.7167587</v>
      </c>
      <c r="T8">
        <v>6.25</v>
      </c>
      <c r="U8">
        <v>0.73058829999999997</v>
      </c>
      <c r="V8">
        <v>0</v>
      </c>
      <c r="W8">
        <v>491194.15625</v>
      </c>
      <c r="X8">
        <v>4951493</v>
      </c>
      <c r="Y8">
        <v>0</v>
      </c>
      <c r="AA8">
        <v>5</v>
      </c>
      <c r="AB8">
        <v>0</v>
      </c>
      <c r="AC8">
        <v>0.5</v>
      </c>
      <c r="AD8">
        <v>0</v>
      </c>
      <c r="AE8">
        <v>7</v>
      </c>
      <c r="AF8">
        <v>4.47626E-2</v>
      </c>
      <c r="AG8">
        <v>0.69599999999999995</v>
      </c>
      <c r="AH8">
        <v>0</v>
      </c>
      <c r="AI8">
        <v>31.052177400000001</v>
      </c>
      <c r="AJ8">
        <v>0.18748719999999999</v>
      </c>
      <c r="AK8">
        <v>1</v>
      </c>
      <c r="AL8">
        <v>0.28316469999999999</v>
      </c>
      <c r="AM8">
        <v>1</v>
      </c>
      <c r="AN8">
        <v>1</v>
      </c>
      <c r="AO8">
        <v>126</v>
      </c>
      <c r="AP8">
        <v>126</v>
      </c>
      <c r="AQ8">
        <v>3232</v>
      </c>
      <c r="AR8">
        <v>741</v>
      </c>
      <c r="AS8">
        <v>2025</v>
      </c>
      <c r="AT8" s="23">
        <v>45791</v>
      </c>
      <c r="AU8" s="23" t="s">
        <v>29</v>
      </c>
      <c r="AV8">
        <v>0</v>
      </c>
      <c r="AW8">
        <v>491194.15</v>
      </c>
      <c r="AX8">
        <v>4951493</v>
      </c>
      <c r="AY8">
        <v>1256.63706143591</v>
      </c>
      <c r="AZ8">
        <v>125663.706143591</v>
      </c>
      <c r="BA8">
        <v>0.3215346</v>
      </c>
      <c r="BB8">
        <v>0.3286965</v>
      </c>
      <c r="BC8">
        <v>0.41956900000000003</v>
      </c>
      <c r="BD8">
        <v>3.8369899999999998E-2</v>
      </c>
      <c r="BE8">
        <v>4.55319E-2</v>
      </c>
      <c r="BF8">
        <v>0.13640440000000001</v>
      </c>
    </row>
    <row r="9" spans="1:58">
      <c r="A9">
        <v>3711</v>
      </c>
      <c r="B9" t="s">
        <v>92</v>
      </c>
      <c r="C9" t="s">
        <v>86</v>
      </c>
      <c r="D9" t="s">
        <v>93</v>
      </c>
      <c r="G9" s="23">
        <v>43668</v>
      </c>
      <c r="H9">
        <v>2</v>
      </c>
      <c r="I9">
        <v>3548</v>
      </c>
      <c r="J9">
        <v>7</v>
      </c>
      <c r="K9">
        <v>8</v>
      </c>
      <c r="L9">
        <v>7</v>
      </c>
      <c r="M9">
        <v>8</v>
      </c>
      <c r="N9">
        <v>0.69599999999999995</v>
      </c>
      <c r="O9">
        <v>0.79400000000000004</v>
      </c>
      <c r="P9">
        <v>0.69599999999999995</v>
      </c>
      <c r="Q9">
        <v>0.79400000000000004</v>
      </c>
      <c r="R9">
        <v>-123.00410460000001</v>
      </c>
      <c r="S9">
        <v>44.766479500000003</v>
      </c>
      <c r="T9">
        <v>7.5</v>
      </c>
      <c r="U9">
        <v>0.87470590000000004</v>
      </c>
      <c r="V9">
        <v>1.08386E-2</v>
      </c>
      <c r="W9">
        <v>499675.0625</v>
      </c>
      <c r="X9">
        <v>4957010</v>
      </c>
      <c r="Y9">
        <v>0</v>
      </c>
      <c r="AA9">
        <v>4</v>
      </c>
      <c r="AB9">
        <v>0</v>
      </c>
      <c r="AC9">
        <v>0.40200000000000002</v>
      </c>
      <c r="AD9">
        <v>0</v>
      </c>
      <c r="AE9">
        <v>4</v>
      </c>
      <c r="AF9">
        <v>0</v>
      </c>
      <c r="AG9">
        <v>0.40200000000000002</v>
      </c>
      <c r="AH9">
        <v>0</v>
      </c>
      <c r="AI9">
        <v>31.052177400000001</v>
      </c>
      <c r="AJ9">
        <v>0.1390083</v>
      </c>
      <c r="AK9">
        <v>1</v>
      </c>
      <c r="AL9">
        <v>0.3214745</v>
      </c>
      <c r="AM9">
        <v>1</v>
      </c>
      <c r="AN9">
        <v>1</v>
      </c>
      <c r="AO9">
        <v>32</v>
      </c>
      <c r="AP9">
        <v>32</v>
      </c>
      <c r="AQ9">
        <v>3548</v>
      </c>
      <c r="AR9">
        <v>738</v>
      </c>
      <c r="AS9">
        <v>2025</v>
      </c>
      <c r="AT9" s="23">
        <v>45791</v>
      </c>
      <c r="AU9" s="23" t="s">
        <v>29</v>
      </c>
      <c r="AV9">
        <v>0</v>
      </c>
      <c r="AW9">
        <v>499675.05999999901</v>
      </c>
      <c r="AX9">
        <v>4957010</v>
      </c>
      <c r="AY9">
        <v>1256.63706143591</v>
      </c>
      <c r="AZ9">
        <v>125663.706143591</v>
      </c>
      <c r="BA9">
        <v>7.9580000000000004E-4</v>
      </c>
      <c r="BB9">
        <v>4.2519599999999998E-2</v>
      </c>
      <c r="BC9">
        <v>4.9479999999999999E-4</v>
      </c>
      <c r="BD9">
        <v>-0.32067869999999998</v>
      </c>
      <c r="BE9">
        <v>-0.27895490000000001</v>
      </c>
      <c r="BF9">
        <v>-0.32097969999999998</v>
      </c>
    </row>
    <row r="10" spans="1:58">
      <c r="A10">
        <v>4347</v>
      </c>
      <c r="B10" t="s">
        <v>94</v>
      </c>
      <c r="C10" t="s">
        <v>86</v>
      </c>
      <c r="D10" t="s">
        <v>93</v>
      </c>
      <c r="G10" s="23">
        <v>43668</v>
      </c>
      <c r="H10">
        <v>2</v>
      </c>
      <c r="I10">
        <v>4030</v>
      </c>
      <c r="J10">
        <v>6</v>
      </c>
      <c r="K10">
        <v>5</v>
      </c>
      <c r="L10">
        <v>6</v>
      </c>
      <c r="M10">
        <v>6</v>
      </c>
      <c r="N10">
        <v>0.59799999999999998</v>
      </c>
      <c r="O10">
        <v>0.5</v>
      </c>
      <c r="P10">
        <v>0.59799999999999998</v>
      </c>
      <c r="Q10">
        <v>0.59799999999999998</v>
      </c>
      <c r="R10">
        <v>-122.9844513</v>
      </c>
      <c r="S10">
        <v>44.7408638</v>
      </c>
      <c r="T10">
        <v>5.75</v>
      </c>
      <c r="U10">
        <v>0.67294109999999996</v>
      </c>
      <c r="V10">
        <v>0</v>
      </c>
      <c r="W10">
        <v>501230.78125</v>
      </c>
      <c r="X10">
        <v>4954164.5</v>
      </c>
      <c r="Y10">
        <v>0</v>
      </c>
      <c r="AA10">
        <v>5</v>
      </c>
      <c r="AB10">
        <v>5.4850000000000005E-4</v>
      </c>
      <c r="AC10">
        <v>0.5</v>
      </c>
      <c r="AD10">
        <v>1</v>
      </c>
      <c r="AE10">
        <v>7</v>
      </c>
      <c r="AF10">
        <v>6.4529000000000003E-2</v>
      </c>
      <c r="AG10">
        <v>0.69599999999999995</v>
      </c>
      <c r="AH10">
        <v>0</v>
      </c>
      <c r="AI10">
        <v>31.052177400000001</v>
      </c>
      <c r="AJ10">
        <v>3.1830999999999999E-3</v>
      </c>
      <c r="AK10">
        <v>1</v>
      </c>
      <c r="AL10">
        <v>0.15051870000000001</v>
      </c>
      <c r="AM10">
        <v>1</v>
      </c>
      <c r="AN10">
        <v>1</v>
      </c>
      <c r="AO10">
        <v>34</v>
      </c>
      <c r="AP10">
        <v>34</v>
      </c>
      <c r="AQ10">
        <v>4030</v>
      </c>
      <c r="AR10">
        <v>740</v>
      </c>
      <c r="AS10">
        <v>2025</v>
      </c>
      <c r="AT10" s="23">
        <v>45791</v>
      </c>
      <c r="AU10" s="23" t="s">
        <v>29</v>
      </c>
      <c r="AV10">
        <v>0</v>
      </c>
      <c r="AW10">
        <v>501230.78</v>
      </c>
      <c r="AX10">
        <v>4954164.5</v>
      </c>
      <c r="AY10">
        <v>1256.63706143591</v>
      </c>
      <c r="AZ10">
        <v>125663.706143591</v>
      </c>
      <c r="BA10">
        <v>4.9899999999999999E-4</v>
      </c>
      <c r="BB10">
        <v>4.9899999999999999E-4</v>
      </c>
      <c r="BC10">
        <v>4.9870000000000003E-4</v>
      </c>
      <c r="BD10">
        <v>-0.15001970000000001</v>
      </c>
      <c r="BE10">
        <v>-0.15001970000000001</v>
      </c>
      <c r="BF10">
        <v>-0.15001999999999999</v>
      </c>
    </row>
    <row r="11" spans="1:58">
      <c r="A11">
        <v>5488</v>
      </c>
      <c r="B11" t="s">
        <v>95</v>
      </c>
      <c r="C11" t="s">
        <v>86</v>
      </c>
      <c r="D11" t="s">
        <v>11</v>
      </c>
      <c r="G11" s="23">
        <v>43668</v>
      </c>
      <c r="H11">
        <v>2</v>
      </c>
      <c r="I11">
        <v>4887</v>
      </c>
      <c r="J11">
        <v>8</v>
      </c>
      <c r="K11">
        <v>6</v>
      </c>
      <c r="L11">
        <v>8</v>
      </c>
      <c r="M11">
        <v>7</v>
      </c>
      <c r="N11">
        <v>0.79400000000000004</v>
      </c>
      <c r="O11">
        <v>0.59799999999999998</v>
      </c>
      <c r="P11">
        <v>0.79400000000000004</v>
      </c>
      <c r="Q11">
        <v>0.69599999999999995</v>
      </c>
      <c r="R11">
        <v>-123.0958557</v>
      </c>
      <c r="S11">
        <v>44.777664199999997</v>
      </c>
      <c r="T11">
        <v>7.25</v>
      </c>
      <c r="U11">
        <v>0.84588240000000003</v>
      </c>
      <c r="V11">
        <v>4.5389000000000002E-3</v>
      </c>
      <c r="W11">
        <v>492415.90625</v>
      </c>
      <c r="X11">
        <v>4958257</v>
      </c>
      <c r="Y11">
        <v>0</v>
      </c>
      <c r="AA11">
        <v>5</v>
      </c>
      <c r="AB11">
        <v>5.5049999999999999E-4</v>
      </c>
      <c r="AC11">
        <v>0.5</v>
      </c>
      <c r="AD11">
        <v>0</v>
      </c>
      <c r="AE11">
        <v>6</v>
      </c>
      <c r="AF11">
        <v>1.7068900000000001E-2</v>
      </c>
      <c r="AG11">
        <v>0.59799999999999998</v>
      </c>
      <c r="AH11">
        <v>0</v>
      </c>
      <c r="AI11">
        <v>31.052177400000001</v>
      </c>
      <c r="AJ11">
        <v>5.6579000000000004E-3</v>
      </c>
      <c r="AK11">
        <v>1</v>
      </c>
      <c r="AL11">
        <v>0.33278780000000002</v>
      </c>
      <c r="AM11">
        <v>1</v>
      </c>
      <c r="AN11">
        <v>1</v>
      </c>
      <c r="AO11">
        <v>31</v>
      </c>
      <c r="AP11">
        <v>31</v>
      </c>
      <c r="AQ11">
        <v>4887</v>
      </c>
      <c r="AR11">
        <v>737</v>
      </c>
      <c r="AS11">
        <v>2025</v>
      </c>
      <c r="AT11" s="23">
        <v>45791</v>
      </c>
      <c r="AU11" s="23" t="s">
        <v>29</v>
      </c>
      <c r="AV11">
        <v>0</v>
      </c>
      <c r="AW11">
        <v>492415.9</v>
      </c>
      <c r="AX11">
        <v>4958257</v>
      </c>
      <c r="AY11">
        <v>1256.63706143591</v>
      </c>
      <c r="AZ11">
        <v>125663.706143591</v>
      </c>
      <c r="BA11">
        <v>7.9580000000000004E-4</v>
      </c>
      <c r="BB11">
        <v>1.7739700000000001E-2</v>
      </c>
      <c r="BC11">
        <v>8.9348800000000006E-2</v>
      </c>
      <c r="BD11">
        <v>-0.33199200000000001</v>
      </c>
      <c r="BE11">
        <v>-0.3150481</v>
      </c>
      <c r="BF11">
        <v>-0.24343899999999999</v>
      </c>
    </row>
    <row r="12" spans="1:58">
      <c r="A12">
        <v>2719</v>
      </c>
      <c r="B12" t="s">
        <v>96</v>
      </c>
      <c r="C12" t="s">
        <v>86</v>
      </c>
      <c r="G12" s="23">
        <v>43668</v>
      </c>
      <c r="H12">
        <v>3</v>
      </c>
      <c r="I12">
        <v>2795</v>
      </c>
      <c r="J12">
        <v>5</v>
      </c>
      <c r="K12">
        <v>6</v>
      </c>
      <c r="L12">
        <v>4</v>
      </c>
      <c r="M12">
        <v>8</v>
      </c>
      <c r="N12">
        <v>0.5</v>
      </c>
      <c r="O12">
        <v>0.59799999999999998</v>
      </c>
      <c r="P12">
        <v>0.40200000000000002</v>
      </c>
      <c r="Q12">
        <v>0.79400000000000004</v>
      </c>
      <c r="R12">
        <v>-123.243309</v>
      </c>
      <c r="S12">
        <v>44.897575400000001</v>
      </c>
      <c r="T12">
        <v>5.75</v>
      </c>
      <c r="U12">
        <v>0.67294109999999996</v>
      </c>
      <c r="V12">
        <v>6.3894800000000002E-2</v>
      </c>
      <c r="W12">
        <v>480789.15625</v>
      </c>
      <c r="X12">
        <v>4971601</v>
      </c>
      <c r="Y12">
        <v>0</v>
      </c>
      <c r="AA12">
        <v>6</v>
      </c>
      <c r="AB12">
        <v>1.3135300000000001E-2</v>
      </c>
      <c r="AC12">
        <v>0.59799999999999998</v>
      </c>
      <c r="AD12">
        <v>1</v>
      </c>
      <c r="AE12">
        <v>5</v>
      </c>
      <c r="AF12">
        <v>0</v>
      </c>
      <c r="AG12">
        <v>0.5</v>
      </c>
      <c r="AH12">
        <v>0</v>
      </c>
      <c r="AI12">
        <v>31.052177400000001</v>
      </c>
      <c r="AJ12">
        <v>1E-4</v>
      </c>
      <c r="AK12">
        <v>0</v>
      </c>
      <c r="AL12">
        <v>0.40265519999999999</v>
      </c>
      <c r="AM12">
        <v>1</v>
      </c>
      <c r="AN12">
        <v>1</v>
      </c>
      <c r="AO12">
        <v>27</v>
      </c>
      <c r="AP12">
        <v>27</v>
      </c>
      <c r="AQ12">
        <v>2795</v>
      </c>
      <c r="AR12">
        <v>732</v>
      </c>
      <c r="AS12">
        <v>2025</v>
      </c>
      <c r="AT12" s="23">
        <v>45792</v>
      </c>
      <c r="AU12" s="23" t="s">
        <v>29</v>
      </c>
      <c r="AV12">
        <v>0</v>
      </c>
      <c r="AW12">
        <v>480789.15</v>
      </c>
      <c r="AX12">
        <v>4971601</v>
      </c>
      <c r="AY12">
        <v>1256.63706143591</v>
      </c>
      <c r="AZ12">
        <v>125663.706143591</v>
      </c>
      <c r="BA12">
        <v>3.1830999999999999E-3</v>
      </c>
      <c r="BB12">
        <v>0.38618180000000002</v>
      </c>
      <c r="BC12">
        <v>0.38749470000000003</v>
      </c>
      <c r="BD12">
        <v>-0.3994721</v>
      </c>
      <c r="BE12">
        <v>-1.6473399999999999E-2</v>
      </c>
      <c r="BF12">
        <v>-1.51605E-2</v>
      </c>
    </row>
    <row r="13" spans="1:58">
      <c r="A13">
        <v>3582</v>
      </c>
      <c r="B13" t="s">
        <v>97</v>
      </c>
      <c r="C13" t="s">
        <v>98</v>
      </c>
      <c r="D13" t="s">
        <v>99</v>
      </c>
      <c r="G13" s="23">
        <v>43668</v>
      </c>
      <c r="H13">
        <v>3</v>
      </c>
      <c r="I13">
        <v>3467</v>
      </c>
      <c r="J13">
        <v>5</v>
      </c>
      <c r="K13">
        <v>7</v>
      </c>
      <c r="L13">
        <v>5</v>
      </c>
      <c r="M13">
        <v>8</v>
      </c>
      <c r="N13">
        <v>0.5</v>
      </c>
      <c r="O13">
        <v>0.69599999999999995</v>
      </c>
      <c r="P13">
        <v>0.5</v>
      </c>
      <c r="Q13">
        <v>0.79400000000000004</v>
      </c>
      <c r="R13">
        <v>-123.2285461</v>
      </c>
      <c r="S13">
        <v>44.904628799999998</v>
      </c>
      <c r="T13">
        <v>6.25</v>
      </c>
      <c r="U13">
        <v>0.73058829999999997</v>
      </c>
      <c r="V13">
        <v>5.7030200000000003E-2</v>
      </c>
      <c r="W13">
        <v>481957.375</v>
      </c>
      <c r="X13">
        <v>4972381.5</v>
      </c>
      <c r="Y13">
        <v>0</v>
      </c>
      <c r="AA13">
        <v>3</v>
      </c>
      <c r="AB13">
        <v>0</v>
      </c>
      <c r="AC13">
        <v>0.30399999999999999</v>
      </c>
      <c r="AD13">
        <v>0</v>
      </c>
      <c r="AE13">
        <v>6</v>
      </c>
      <c r="AF13">
        <v>1.04703E-2</v>
      </c>
      <c r="AG13">
        <v>0.59799999999999998</v>
      </c>
      <c r="AH13">
        <v>0</v>
      </c>
      <c r="AI13">
        <v>31.052177400000001</v>
      </c>
      <c r="AJ13">
        <v>3.5173099999999999E-2</v>
      </c>
      <c r="AK13">
        <v>0</v>
      </c>
      <c r="AL13">
        <v>0.39531230000000001</v>
      </c>
      <c r="AM13">
        <v>1</v>
      </c>
      <c r="AN13">
        <v>1</v>
      </c>
      <c r="AO13">
        <v>24</v>
      </c>
      <c r="AP13">
        <v>24</v>
      </c>
      <c r="AQ13">
        <v>3467</v>
      </c>
      <c r="AR13">
        <v>729</v>
      </c>
      <c r="AS13">
        <v>2025</v>
      </c>
      <c r="AT13" s="23">
        <v>45792</v>
      </c>
      <c r="AU13" s="23" t="s">
        <v>29</v>
      </c>
      <c r="AV13">
        <v>1</v>
      </c>
      <c r="AW13">
        <v>481957.36999999901</v>
      </c>
      <c r="AX13">
        <v>4972381.5</v>
      </c>
      <c r="AY13">
        <v>1256.63706143591</v>
      </c>
      <c r="AZ13">
        <v>125663.706143591</v>
      </c>
      <c r="BA13">
        <v>0.54591500000000004</v>
      </c>
      <c r="BB13">
        <v>0.48115079999999999</v>
      </c>
      <c r="BC13">
        <v>0.4780066</v>
      </c>
      <c r="BD13">
        <v>0.15060270000000001</v>
      </c>
      <c r="BE13">
        <v>8.5838499999999998E-2</v>
      </c>
      <c r="BF13">
        <v>8.2694199999999995E-2</v>
      </c>
    </row>
    <row r="14" spans="1:58">
      <c r="A14">
        <v>3583</v>
      </c>
      <c r="B14" t="s">
        <v>97</v>
      </c>
      <c r="C14" t="s">
        <v>98</v>
      </c>
      <c r="D14" t="s">
        <v>99</v>
      </c>
      <c r="G14" s="23">
        <v>43668</v>
      </c>
      <c r="H14">
        <v>3</v>
      </c>
      <c r="I14">
        <v>3468</v>
      </c>
      <c r="J14">
        <v>6</v>
      </c>
      <c r="K14">
        <v>6</v>
      </c>
      <c r="L14">
        <v>6</v>
      </c>
      <c r="M14">
        <v>8</v>
      </c>
      <c r="N14">
        <v>0.59799999999999998</v>
      </c>
      <c r="O14">
        <v>0.59799999999999998</v>
      </c>
      <c r="P14">
        <v>0.59799999999999998</v>
      </c>
      <c r="Q14">
        <v>0.79400000000000004</v>
      </c>
      <c r="R14">
        <v>-123.2285614</v>
      </c>
      <c r="S14">
        <v>44.898777000000003</v>
      </c>
      <c r="T14">
        <v>6.5</v>
      </c>
      <c r="U14">
        <v>0.75941179999999997</v>
      </c>
      <c r="V14">
        <v>0.18056949999999999</v>
      </c>
      <c r="W14">
        <v>481954.03125</v>
      </c>
      <c r="X14">
        <v>4971731.5</v>
      </c>
      <c r="Y14">
        <v>0</v>
      </c>
      <c r="AA14">
        <v>6</v>
      </c>
      <c r="AB14">
        <v>2.5056000000000002E-3</v>
      </c>
      <c r="AC14">
        <v>0.59799999999999998</v>
      </c>
      <c r="AD14">
        <v>0</v>
      </c>
      <c r="AE14">
        <v>6</v>
      </c>
      <c r="AF14">
        <v>1.4464599999999999E-2</v>
      </c>
      <c r="AG14">
        <v>0.59799999999999998</v>
      </c>
      <c r="AH14">
        <v>0</v>
      </c>
      <c r="AI14">
        <v>31.052177400000001</v>
      </c>
      <c r="AJ14">
        <v>1E-4</v>
      </c>
      <c r="AK14">
        <v>0</v>
      </c>
      <c r="AL14">
        <v>0.63023019999999996</v>
      </c>
      <c r="AM14">
        <v>1</v>
      </c>
      <c r="AN14">
        <v>1</v>
      </c>
      <c r="AO14">
        <v>23</v>
      </c>
      <c r="AP14">
        <v>23</v>
      </c>
      <c r="AQ14">
        <v>3468</v>
      </c>
      <c r="AR14">
        <v>728</v>
      </c>
      <c r="AS14">
        <v>2025</v>
      </c>
      <c r="AT14" s="23">
        <v>45792</v>
      </c>
      <c r="AU14" s="23" t="s">
        <v>29</v>
      </c>
      <c r="AV14">
        <v>0</v>
      </c>
      <c r="AW14">
        <v>481954.03</v>
      </c>
      <c r="AX14">
        <v>4971731.5</v>
      </c>
      <c r="AY14">
        <v>1256.63706143591</v>
      </c>
      <c r="AZ14">
        <v>125663.706143591</v>
      </c>
      <c r="BA14">
        <v>7.9580000000000004E-4</v>
      </c>
      <c r="BB14">
        <v>5.8279999999999996E-4</v>
      </c>
      <c r="BC14">
        <v>8.7118999999999999E-3</v>
      </c>
      <c r="BD14">
        <v>-0.62943439999999995</v>
      </c>
      <c r="BE14">
        <v>-0.62964739999999997</v>
      </c>
      <c r="BF14">
        <v>-0.62151829999999997</v>
      </c>
    </row>
    <row r="15" spans="1:58">
      <c r="A15">
        <v>3740</v>
      </c>
      <c r="B15" t="s">
        <v>97</v>
      </c>
      <c r="C15" t="s">
        <v>98</v>
      </c>
      <c r="D15" t="s">
        <v>99</v>
      </c>
      <c r="G15" s="23">
        <v>43668</v>
      </c>
      <c r="H15">
        <v>3</v>
      </c>
      <c r="I15">
        <v>3573</v>
      </c>
      <c r="J15">
        <v>7</v>
      </c>
      <c r="K15">
        <v>7</v>
      </c>
      <c r="L15">
        <v>5</v>
      </c>
      <c r="M15">
        <v>8</v>
      </c>
      <c r="N15">
        <v>0.69599999999999995</v>
      </c>
      <c r="O15">
        <v>0.69599999999999995</v>
      </c>
      <c r="P15">
        <v>0.5</v>
      </c>
      <c r="Q15">
        <v>0.79400000000000004</v>
      </c>
      <c r="R15">
        <v>-123.22850800000001</v>
      </c>
      <c r="S15">
        <v>44.913585699999999</v>
      </c>
      <c r="T15">
        <v>6.75</v>
      </c>
      <c r="U15">
        <v>0.78823529999999997</v>
      </c>
      <c r="V15">
        <v>3.9002599999999998E-2</v>
      </c>
      <c r="W15">
        <v>481963.25</v>
      </c>
      <c r="X15">
        <v>4973376</v>
      </c>
      <c r="Y15">
        <v>0</v>
      </c>
      <c r="AA15">
        <v>4</v>
      </c>
      <c r="AB15">
        <v>0</v>
      </c>
      <c r="AC15">
        <v>0.40200000000000002</v>
      </c>
      <c r="AD15">
        <v>1</v>
      </c>
      <c r="AE15">
        <v>6</v>
      </c>
      <c r="AF15">
        <v>4.3252999999999998E-3</v>
      </c>
      <c r="AG15">
        <v>0.59799999999999998</v>
      </c>
      <c r="AH15">
        <v>0</v>
      </c>
      <c r="AI15">
        <v>31.052177400000001</v>
      </c>
      <c r="AJ15">
        <v>2.522E-4</v>
      </c>
      <c r="AK15">
        <v>0</v>
      </c>
      <c r="AL15">
        <v>0.3392406</v>
      </c>
      <c r="AM15">
        <v>1</v>
      </c>
      <c r="AN15">
        <v>1</v>
      </c>
      <c r="AO15">
        <v>25</v>
      </c>
      <c r="AP15">
        <v>25</v>
      </c>
      <c r="AQ15">
        <v>3573</v>
      </c>
      <c r="AR15">
        <v>730</v>
      </c>
      <c r="AS15">
        <v>2025</v>
      </c>
      <c r="AT15" s="23">
        <v>45792</v>
      </c>
      <c r="AU15" s="23" t="s">
        <v>29</v>
      </c>
      <c r="AV15">
        <v>0</v>
      </c>
      <c r="AW15">
        <v>481963.25</v>
      </c>
      <c r="AX15">
        <v>4973376</v>
      </c>
      <c r="AY15">
        <v>1256.63706143591</v>
      </c>
      <c r="AZ15">
        <v>125663.706143591</v>
      </c>
      <c r="BA15">
        <v>2.3873000000000002E-3</v>
      </c>
      <c r="BB15">
        <v>4.4196800000000001E-2</v>
      </c>
      <c r="BC15">
        <v>2.3873000000000002E-3</v>
      </c>
      <c r="BD15">
        <v>-0.33685330000000002</v>
      </c>
      <c r="BE15">
        <v>-0.29504380000000002</v>
      </c>
      <c r="BF15">
        <v>-0.33685330000000002</v>
      </c>
    </row>
    <row r="16" spans="1:58">
      <c r="A16">
        <v>3882</v>
      </c>
      <c r="B16" t="s">
        <v>100</v>
      </c>
      <c r="C16" t="s">
        <v>86</v>
      </c>
      <c r="G16" s="23">
        <v>43668</v>
      </c>
      <c r="H16">
        <v>3</v>
      </c>
      <c r="I16">
        <v>3699</v>
      </c>
      <c r="J16">
        <v>6</v>
      </c>
      <c r="K16">
        <v>6</v>
      </c>
      <c r="L16">
        <v>6</v>
      </c>
      <c r="M16">
        <v>8</v>
      </c>
      <c r="N16">
        <v>0.59799999999999998</v>
      </c>
      <c r="O16">
        <v>0.59799999999999998</v>
      </c>
      <c r="P16">
        <v>0.59799999999999998</v>
      </c>
      <c r="Q16">
        <v>0.79400000000000004</v>
      </c>
      <c r="R16">
        <v>-123.2350845</v>
      </c>
      <c r="S16">
        <v>44.898819000000003</v>
      </c>
      <c r="T16">
        <v>6.5</v>
      </c>
      <c r="U16">
        <v>0.75941179999999997</v>
      </c>
      <c r="V16">
        <v>0.60833199999999998</v>
      </c>
      <c r="W16">
        <v>481439.375</v>
      </c>
      <c r="X16">
        <v>4971737.5</v>
      </c>
      <c r="Y16">
        <v>0</v>
      </c>
      <c r="AA16">
        <v>7</v>
      </c>
      <c r="AB16">
        <v>2.0276499999999999E-2</v>
      </c>
      <c r="AC16">
        <v>0.69599999999999995</v>
      </c>
      <c r="AD16">
        <v>0</v>
      </c>
      <c r="AE16">
        <v>3</v>
      </c>
      <c r="AF16">
        <v>0</v>
      </c>
      <c r="AG16">
        <v>0.30399999999999999</v>
      </c>
      <c r="AH16">
        <v>0</v>
      </c>
      <c r="AI16">
        <v>31.052177400000001</v>
      </c>
      <c r="AJ16">
        <v>1E-4</v>
      </c>
      <c r="AK16">
        <v>0</v>
      </c>
      <c r="AL16">
        <v>0.3107337</v>
      </c>
      <c r="AM16">
        <v>1</v>
      </c>
      <c r="AN16">
        <v>1</v>
      </c>
      <c r="AO16">
        <v>26</v>
      </c>
      <c r="AP16">
        <v>26</v>
      </c>
      <c r="AQ16">
        <v>3699</v>
      </c>
      <c r="AR16">
        <v>731</v>
      </c>
      <c r="AS16">
        <v>2025</v>
      </c>
      <c r="AT16" s="23">
        <v>45792</v>
      </c>
      <c r="AU16" s="23" t="s">
        <v>29</v>
      </c>
      <c r="AV16">
        <v>3</v>
      </c>
      <c r="AW16">
        <v>481439.36999999901</v>
      </c>
      <c r="AX16">
        <v>4971737.5</v>
      </c>
      <c r="AY16">
        <v>1256.63706143591</v>
      </c>
      <c r="AZ16">
        <v>125663.706143591</v>
      </c>
      <c r="BA16">
        <v>0.27120719999999998</v>
      </c>
      <c r="BB16">
        <v>0.2922923</v>
      </c>
      <c r="BC16">
        <v>0.4049277</v>
      </c>
      <c r="BD16">
        <v>-3.9526499999999999E-2</v>
      </c>
      <c r="BE16">
        <v>-1.8441300000000001E-2</v>
      </c>
      <c r="BF16">
        <v>9.4194E-2</v>
      </c>
    </row>
    <row r="17" spans="1:58">
      <c r="A17">
        <v>4594</v>
      </c>
      <c r="B17" t="s">
        <v>101</v>
      </c>
      <c r="C17" t="s">
        <v>86</v>
      </c>
      <c r="G17" s="23">
        <v>43668</v>
      </c>
      <c r="H17">
        <v>3</v>
      </c>
      <c r="I17">
        <v>4199</v>
      </c>
      <c r="J17">
        <v>7</v>
      </c>
      <c r="K17">
        <v>5</v>
      </c>
      <c r="L17">
        <v>4</v>
      </c>
      <c r="M17">
        <v>6</v>
      </c>
      <c r="N17">
        <v>0.69599999999999995</v>
      </c>
      <c r="O17">
        <v>0.5</v>
      </c>
      <c r="P17">
        <v>0.40200000000000002</v>
      </c>
      <c r="Q17">
        <v>0.59799999999999998</v>
      </c>
      <c r="R17">
        <v>-123.17215729999999</v>
      </c>
      <c r="S17">
        <v>44.868015300000003</v>
      </c>
      <c r="T17">
        <v>5.5</v>
      </c>
      <c r="U17">
        <v>0.64411770000000002</v>
      </c>
      <c r="V17">
        <v>0</v>
      </c>
      <c r="W17">
        <v>486400.1875</v>
      </c>
      <c r="X17">
        <v>4968303</v>
      </c>
      <c r="Y17">
        <v>0</v>
      </c>
      <c r="AA17">
        <v>4</v>
      </c>
      <c r="AB17">
        <v>0</v>
      </c>
      <c r="AC17">
        <v>0.40200000000000002</v>
      </c>
      <c r="AD17">
        <v>0</v>
      </c>
      <c r="AE17">
        <v>5</v>
      </c>
      <c r="AF17">
        <v>0</v>
      </c>
      <c r="AG17">
        <v>0.5</v>
      </c>
      <c r="AH17">
        <v>0</v>
      </c>
      <c r="AI17">
        <v>31.052177400000001</v>
      </c>
      <c r="AJ17">
        <v>2.0758999999999999E-3</v>
      </c>
      <c r="AK17">
        <v>0</v>
      </c>
      <c r="AL17">
        <v>0.57401999999999997</v>
      </c>
      <c r="AM17">
        <v>1</v>
      </c>
      <c r="AN17">
        <v>1</v>
      </c>
      <c r="AO17">
        <v>20</v>
      </c>
      <c r="AP17">
        <v>20</v>
      </c>
      <c r="AQ17">
        <v>4199</v>
      </c>
      <c r="AR17">
        <v>725</v>
      </c>
      <c r="AS17">
        <v>2025</v>
      </c>
      <c r="AT17" s="23">
        <v>45792</v>
      </c>
      <c r="AU17" s="23" t="s">
        <v>29</v>
      </c>
      <c r="AV17">
        <v>0</v>
      </c>
      <c r="AW17">
        <v>486400.179999999</v>
      </c>
      <c r="AX17">
        <v>4968303</v>
      </c>
      <c r="AY17">
        <v>1256.63706143591</v>
      </c>
      <c r="AZ17">
        <v>125663.706143591</v>
      </c>
      <c r="BA17">
        <v>7.9580000000000004E-4</v>
      </c>
      <c r="BB17">
        <v>0.54650779999999999</v>
      </c>
      <c r="BC17">
        <v>1.9734000000000002E-3</v>
      </c>
      <c r="BD17">
        <v>-0.57322419999999996</v>
      </c>
      <c r="BE17">
        <v>-2.7512200000000001E-2</v>
      </c>
      <c r="BF17">
        <v>-0.57204659999999996</v>
      </c>
    </row>
    <row r="18" spans="1:58">
      <c r="A18">
        <v>4595</v>
      </c>
      <c r="B18" t="s">
        <v>101</v>
      </c>
      <c r="C18" t="s">
        <v>86</v>
      </c>
      <c r="G18" s="23">
        <v>43668</v>
      </c>
      <c r="H18">
        <v>3</v>
      </c>
      <c r="I18">
        <v>4200</v>
      </c>
      <c r="J18">
        <v>6</v>
      </c>
      <c r="K18">
        <v>6</v>
      </c>
      <c r="L18">
        <v>5</v>
      </c>
      <c r="M18">
        <v>6</v>
      </c>
      <c r="N18">
        <v>0.59799999999999998</v>
      </c>
      <c r="O18">
        <v>0.59799999999999998</v>
      </c>
      <c r="P18">
        <v>0.5</v>
      </c>
      <c r="Q18">
        <v>0.59799999999999998</v>
      </c>
      <c r="R18">
        <v>-123.1803894</v>
      </c>
      <c r="S18">
        <v>44.868095400000001</v>
      </c>
      <c r="T18">
        <v>5.75</v>
      </c>
      <c r="U18">
        <v>0.67294109999999996</v>
      </c>
      <c r="V18">
        <v>0</v>
      </c>
      <c r="W18">
        <v>485750.28125</v>
      </c>
      <c r="X18">
        <v>4968313.5</v>
      </c>
      <c r="Y18">
        <v>0</v>
      </c>
      <c r="AA18">
        <v>5</v>
      </c>
      <c r="AB18">
        <v>0</v>
      </c>
      <c r="AC18">
        <v>0.5</v>
      </c>
      <c r="AD18">
        <v>0</v>
      </c>
      <c r="AE18">
        <v>8</v>
      </c>
      <c r="AF18">
        <v>0.29742420000000003</v>
      </c>
      <c r="AG18">
        <v>0.79400000000000004</v>
      </c>
      <c r="AH18">
        <v>0</v>
      </c>
      <c r="AI18">
        <v>31.052177400000001</v>
      </c>
      <c r="AJ18">
        <v>0.3175634</v>
      </c>
      <c r="AK18">
        <v>1</v>
      </c>
      <c r="AL18">
        <v>0.63303690000000001</v>
      </c>
      <c r="AM18">
        <v>1</v>
      </c>
      <c r="AN18">
        <v>1</v>
      </c>
      <c r="AO18">
        <v>21</v>
      </c>
      <c r="AP18">
        <v>21</v>
      </c>
      <c r="AQ18">
        <v>4200</v>
      </c>
      <c r="AR18">
        <v>726</v>
      </c>
      <c r="AS18">
        <v>2025</v>
      </c>
      <c r="AT18" s="23">
        <v>45792</v>
      </c>
      <c r="AU18" s="23" t="s">
        <v>29</v>
      </c>
      <c r="AV18">
        <v>0</v>
      </c>
      <c r="AW18">
        <v>485750.28</v>
      </c>
      <c r="AX18">
        <v>4968313.5</v>
      </c>
      <c r="AY18">
        <v>1256.63706143591</v>
      </c>
      <c r="AZ18">
        <v>125663.706143591</v>
      </c>
      <c r="BA18">
        <v>0.66298900000000005</v>
      </c>
      <c r="BB18">
        <v>7.9580000000000004E-4</v>
      </c>
      <c r="BC18">
        <v>1.5915E-3</v>
      </c>
      <c r="BD18">
        <v>2.9952099999999999E-2</v>
      </c>
      <c r="BE18">
        <v>-0.6322411</v>
      </c>
      <c r="BF18">
        <v>-0.63144529999999999</v>
      </c>
    </row>
    <row r="19" spans="1:58">
      <c r="A19">
        <v>4698</v>
      </c>
      <c r="B19" t="s">
        <v>97</v>
      </c>
      <c r="C19" t="s">
        <v>98</v>
      </c>
      <c r="D19" t="s">
        <v>99</v>
      </c>
      <c r="G19" s="23">
        <v>43668</v>
      </c>
      <c r="H19">
        <v>3</v>
      </c>
      <c r="I19">
        <v>4272</v>
      </c>
      <c r="J19">
        <v>6</v>
      </c>
      <c r="K19">
        <v>7</v>
      </c>
      <c r="L19">
        <v>8</v>
      </c>
      <c r="M19">
        <v>8</v>
      </c>
      <c r="N19">
        <v>0.59799999999999998</v>
      </c>
      <c r="O19">
        <v>0.69599999999999995</v>
      </c>
      <c r="P19">
        <v>0.79400000000000004</v>
      </c>
      <c r="Q19">
        <v>0.79400000000000004</v>
      </c>
      <c r="R19">
        <v>-123.2290649</v>
      </c>
      <c r="S19">
        <v>44.868270899999999</v>
      </c>
      <c r="T19">
        <v>7.25</v>
      </c>
      <c r="U19">
        <v>0.84588240000000003</v>
      </c>
      <c r="V19">
        <v>0.16677120000000001</v>
      </c>
      <c r="W19">
        <v>481904.6875</v>
      </c>
      <c r="X19">
        <v>4968342.5</v>
      </c>
      <c r="Y19">
        <v>0</v>
      </c>
      <c r="AA19">
        <v>4</v>
      </c>
      <c r="AB19">
        <v>0</v>
      </c>
      <c r="AC19">
        <v>0.40200000000000002</v>
      </c>
      <c r="AD19">
        <v>0</v>
      </c>
      <c r="AE19">
        <v>4</v>
      </c>
      <c r="AF19">
        <v>0</v>
      </c>
      <c r="AG19">
        <v>0.40200000000000002</v>
      </c>
      <c r="AH19">
        <v>0</v>
      </c>
      <c r="AI19">
        <v>31.052177400000001</v>
      </c>
      <c r="AJ19">
        <v>1E-4</v>
      </c>
      <c r="AK19">
        <v>0</v>
      </c>
      <c r="AL19">
        <v>0.25206200000000001</v>
      </c>
      <c r="AM19">
        <v>1</v>
      </c>
      <c r="AN19">
        <v>1</v>
      </c>
      <c r="AO19">
        <v>130</v>
      </c>
      <c r="AP19">
        <v>130</v>
      </c>
      <c r="AQ19">
        <v>4272</v>
      </c>
      <c r="AR19">
        <v>745</v>
      </c>
      <c r="AS19">
        <v>2025</v>
      </c>
      <c r="AT19" s="23">
        <v>45792</v>
      </c>
      <c r="AU19" s="23" t="s">
        <v>29</v>
      </c>
      <c r="AV19">
        <v>1</v>
      </c>
      <c r="AW19">
        <v>481904.679999999</v>
      </c>
      <c r="AX19">
        <v>4968342.5</v>
      </c>
      <c r="AY19">
        <v>1256.63706143591</v>
      </c>
      <c r="AZ19">
        <v>125663.706143591</v>
      </c>
      <c r="BA19">
        <v>1.5915E-3</v>
      </c>
      <c r="BB19">
        <v>1.0081700000000001E-2</v>
      </c>
      <c r="BC19">
        <v>1.1140799999999999E-2</v>
      </c>
      <c r="BD19">
        <v>-0.25047049999999998</v>
      </c>
      <c r="BE19">
        <v>-0.24198030000000001</v>
      </c>
      <c r="BF19">
        <v>-0.2409212</v>
      </c>
    </row>
    <row r="20" spans="1:58">
      <c r="A20">
        <v>4766</v>
      </c>
      <c r="B20" t="s">
        <v>102</v>
      </c>
      <c r="C20" t="s">
        <v>86</v>
      </c>
      <c r="G20" s="23">
        <v>43668</v>
      </c>
      <c r="H20">
        <v>3</v>
      </c>
      <c r="I20">
        <v>4320</v>
      </c>
      <c r="J20">
        <v>7</v>
      </c>
      <c r="K20">
        <v>7</v>
      </c>
      <c r="L20">
        <v>8</v>
      </c>
      <c r="M20">
        <v>6</v>
      </c>
      <c r="N20">
        <v>0.69599999999999995</v>
      </c>
      <c r="O20">
        <v>0.69599999999999995</v>
      </c>
      <c r="P20">
        <v>0.79400000000000004</v>
      </c>
      <c r="Q20">
        <v>0.59799999999999998</v>
      </c>
      <c r="R20">
        <v>-123.1614532</v>
      </c>
      <c r="S20">
        <v>44.887092600000003</v>
      </c>
      <c r="T20">
        <v>7</v>
      </c>
      <c r="U20">
        <v>0.81705879999999997</v>
      </c>
      <c r="V20">
        <v>0</v>
      </c>
      <c r="W20">
        <v>487249.96875</v>
      </c>
      <c r="X20">
        <v>4970420.5</v>
      </c>
      <c r="Y20">
        <v>0</v>
      </c>
      <c r="AA20">
        <v>6</v>
      </c>
      <c r="AB20">
        <v>3.5870899999999997E-2</v>
      </c>
      <c r="AC20">
        <v>0.59799999999999998</v>
      </c>
      <c r="AD20">
        <v>0</v>
      </c>
      <c r="AE20">
        <v>8</v>
      </c>
      <c r="AF20">
        <v>0.42351729999999999</v>
      </c>
      <c r="AG20">
        <v>0.79400000000000004</v>
      </c>
      <c r="AH20">
        <v>0</v>
      </c>
      <c r="AI20">
        <v>31.052177400000001</v>
      </c>
      <c r="AJ20">
        <v>0.1074095</v>
      </c>
      <c r="AK20">
        <v>0</v>
      </c>
      <c r="AL20">
        <v>0.31586769999999997</v>
      </c>
      <c r="AM20">
        <v>1</v>
      </c>
      <c r="AN20">
        <v>1</v>
      </c>
      <c r="AO20">
        <v>22</v>
      </c>
      <c r="AP20">
        <v>22</v>
      </c>
      <c r="AQ20">
        <v>4320</v>
      </c>
      <c r="AR20">
        <v>727</v>
      </c>
      <c r="AS20">
        <v>2025</v>
      </c>
      <c r="AT20" s="23">
        <v>45792</v>
      </c>
      <c r="AU20" s="23" t="s">
        <v>29</v>
      </c>
      <c r="AV20">
        <v>0</v>
      </c>
      <c r="AW20">
        <v>487249.96</v>
      </c>
      <c r="AX20">
        <v>4970420.5</v>
      </c>
      <c r="AY20">
        <v>1256.63706143591</v>
      </c>
      <c r="AZ20">
        <v>125663.706143591</v>
      </c>
      <c r="BA20">
        <v>7.9580000000000004E-4</v>
      </c>
      <c r="BB20">
        <v>7.9580000000000004E-4</v>
      </c>
      <c r="BC20">
        <v>1.4629000000000001E-3</v>
      </c>
      <c r="BD20">
        <v>-0.31507190000000002</v>
      </c>
      <c r="BE20">
        <v>-0.31507190000000002</v>
      </c>
      <c r="BF20">
        <v>-0.31440479999999998</v>
      </c>
    </row>
    <row r="21" spans="1:58">
      <c r="A21">
        <v>6112</v>
      </c>
      <c r="B21" t="s">
        <v>103</v>
      </c>
      <c r="C21" t="s">
        <v>86</v>
      </c>
      <c r="G21" s="23">
        <v>43668</v>
      </c>
      <c r="H21">
        <v>3</v>
      </c>
      <c r="I21">
        <v>5321</v>
      </c>
      <c r="J21">
        <v>8</v>
      </c>
      <c r="K21">
        <v>8</v>
      </c>
      <c r="L21">
        <v>6</v>
      </c>
      <c r="M21">
        <v>8</v>
      </c>
      <c r="N21">
        <v>0.79400000000000004</v>
      </c>
      <c r="O21">
        <v>0.79400000000000004</v>
      </c>
      <c r="P21">
        <v>0.59799999999999998</v>
      </c>
      <c r="Q21">
        <v>0.79400000000000004</v>
      </c>
      <c r="R21">
        <v>-123.2705002</v>
      </c>
      <c r="S21">
        <v>44.897033700000001</v>
      </c>
      <c r="T21">
        <v>7.5</v>
      </c>
      <c r="U21">
        <v>0.87470590000000004</v>
      </c>
      <c r="V21">
        <v>0.22083610000000001</v>
      </c>
      <c r="W21">
        <v>478642.46875</v>
      </c>
      <c r="X21">
        <v>4971547.5</v>
      </c>
      <c r="Y21">
        <v>0</v>
      </c>
      <c r="AA21">
        <v>4</v>
      </c>
      <c r="AB21">
        <v>0</v>
      </c>
      <c r="AC21">
        <v>0.40200000000000002</v>
      </c>
      <c r="AD21">
        <v>0</v>
      </c>
      <c r="AE21">
        <v>6</v>
      </c>
      <c r="AF21">
        <v>2.7472999999999998E-3</v>
      </c>
      <c r="AG21">
        <v>0.59799999999999998</v>
      </c>
      <c r="AH21">
        <v>0</v>
      </c>
      <c r="AI21">
        <v>31.052177400000001</v>
      </c>
      <c r="AJ21">
        <v>1E-4</v>
      </c>
      <c r="AK21">
        <v>0</v>
      </c>
      <c r="AL21">
        <v>0.27249610000000002</v>
      </c>
      <c r="AM21">
        <v>1</v>
      </c>
      <c r="AN21">
        <v>1</v>
      </c>
      <c r="AO21">
        <v>28</v>
      </c>
      <c r="AP21">
        <v>28</v>
      </c>
      <c r="AQ21">
        <v>5321</v>
      </c>
      <c r="AR21">
        <v>733</v>
      </c>
      <c r="AS21">
        <v>2025</v>
      </c>
      <c r="AT21" s="23">
        <v>45792</v>
      </c>
      <c r="AU21" s="23" t="s">
        <v>29</v>
      </c>
      <c r="AV21">
        <v>0</v>
      </c>
      <c r="AW21">
        <v>478642.46</v>
      </c>
      <c r="AX21">
        <v>4971547.5</v>
      </c>
      <c r="AY21">
        <v>1256.63706143591</v>
      </c>
      <c r="AZ21">
        <v>125663.706143591</v>
      </c>
      <c r="BA21">
        <v>0.31109920000000002</v>
      </c>
      <c r="BB21">
        <v>0.33576600000000001</v>
      </c>
      <c r="BC21">
        <v>0.3771487</v>
      </c>
      <c r="BD21">
        <v>3.8603100000000001E-2</v>
      </c>
      <c r="BE21">
        <v>6.3269900000000004E-2</v>
      </c>
      <c r="BF21">
        <v>0.1046526</v>
      </c>
    </row>
    <row r="22" spans="1:58">
      <c r="A22">
        <v>107</v>
      </c>
      <c r="B22" t="s">
        <v>104</v>
      </c>
      <c r="C22" t="s">
        <v>86</v>
      </c>
      <c r="G22" s="23">
        <v>43668</v>
      </c>
      <c r="H22">
        <v>3</v>
      </c>
      <c r="I22">
        <v>621</v>
      </c>
      <c r="J22">
        <v>5</v>
      </c>
      <c r="K22">
        <v>6</v>
      </c>
      <c r="L22">
        <v>8</v>
      </c>
      <c r="M22">
        <v>8</v>
      </c>
      <c r="N22">
        <v>0.5</v>
      </c>
      <c r="O22">
        <v>0.59799999999999998</v>
      </c>
      <c r="P22">
        <v>0.79400000000000004</v>
      </c>
      <c r="Q22">
        <v>0.79400000000000004</v>
      </c>
      <c r="R22">
        <v>-123.2561951</v>
      </c>
      <c r="S22">
        <v>44.251606000000002</v>
      </c>
      <c r="T22">
        <v>6.75</v>
      </c>
      <c r="U22">
        <v>0.78823529999999997</v>
      </c>
      <c r="V22">
        <v>0.32608239999999999</v>
      </c>
      <c r="W22">
        <v>479546.625</v>
      </c>
      <c r="X22">
        <v>4899850.5</v>
      </c>
      <c r="Y22">
        <v>0</v>
      </c>
      <c r="AA22">
        <v>3</v>
      </c>
      <c r="AB22">
        <v>0</v>
      </c>
      <c r="AC22">
        <v>0.30399999999999999</v>
      </c>
      <c r="AD22">
        <v>0</v>
      </c>
      <c r="AE22">
        <v>5</v>
      </c>
      <c r="AF22">
        <v>0</v>
      </c>
      <c r="AG22">
        <v>0.5</v>
      </c>
      <c r="AH22">
        <v>0</v>
      </c>
      <c r="AI22">
        <v>31.052177400000001</v>
      </c>
      <c r="AJ22">
        <v>0.22844100000000001</v>
      </c>
      <c r="AK22">
        <v>1</v>
      </c>
      <c r="AL22">
        <v>0.30496060000000003</v>
      </c>
      <c r="AM22">
        <v>1</v>
      </c>
      <c r="AN22">
        <v>1</v>
      </c>
      <c r="AO22">
        <v>19</v>
      </c>
      <c r="AP22">
        <v>19</v>
      </c>
      <c r="AQ22">
        <v>621</v>
      </c>
      <c r="AR22">
        <v>724</v>
      </c>
      <c r="AS22">
        <v>2025</v>
      </c>
      <c r="AT22" s="23">
        <v>45793</v>
      </c>
      <c r="AU22" s="23" t="s">
        <v>29</v>
      </c>
      <c r="AV22">
        <v>0</v>
      </c>
      <c r="AW22">
        <v>479546.61999999901</v>
      </c>
      <c r="AX22">
        <v>4899850.5</v>
      </c>
      <c r="AY22">
        <v>1256.63706143591</v>
      </c>
      <c r="AZ22">
        <v>125663.706143591</v>
      </c>
      <c r="BA22">
        <v>0.32973859999999999</v>
      </c>
      <c r="BB22">
        <v>0.38582309999999997</v>
      </c>
      <c r="BC22">
        <v>7.9580000000000004E-4</v>
      </c>
      <c r="BD22">
        <v>2.4778000000000001E-2</v>
      </c>
      <c r="BE22">
        <v>8.0862500000000004E-2</v>
      </c>
      <c r="BF22">
        <v>-0.30416480000000001</v>
      </c>
    </row>
    <row r="23" spans="1:58">
      <c r="A23">
        <v>1073</v>
      </c>
      <c r="B23" t="s">
        <v>105</v>
      </c>
      <c r="C23" t="s">
        <v>86</v>
      </c>
      <c r="G23" s="23">
        <v>43668</v>
      </c>
      <c r="H23">
        <v>3</v>
      </c>
      <c r="I23">
        <v>1417</v>
      </c>
      <c r="J23">
        <v>7</v>
      </c>
      <c r="K23">
        <v>8</v>
      </c>
      <c r="L23">
        <v>8</v>
      </c>
      <c r="M23">
        <v>8</v>
      </c>
      <c r="N23">
        <v>0.69599999999999995</v>
      </c>
      <c r="O23">
        <v>0.79400000000000004</v>
      </c>
      <c r="P23">
        <v>0.79400000000000004</v>
      </c>
      <c r="Q23">
        <v>0.79400000000000004</v>
      </c>
      <c r="R23">
        <v>-123.33543400000001</v>
      </c>
      <c r="S23">
        <v>44.3635941</v>
      </c>
      <c r="T23">
        <v>7.75</v>
      </c>
      <c r="U23">
        <v>0.90352940000000004</v>
      </c>
      <c r="V23">
        <v>0.3500682</v>
      </c>
      <c r="W23">
        <v>473271.40625</v>
      </c>
      <c r="X23">
        <v>4912312.5</v>
      </c>
      <c r="Y23">
        <v>0</v>
      </c>
      <c r="AA23">
        <v>8</v>
      </c>
      <c r="AB23">
        <v>0.22799349999999999</v>
      </c>
      <c r="AC23">
        <v>0.79400000000000004</v>
      </c>
      <c r="AD23">
        <v>0</v>
      </c>
      <c r="AE23">
        <v>4</v>
      </c>
      <c r="AF23">
        <v>0</v>
      </c>
      <c r="AG23">
        <v>0.40200000000000002</v>
      </c>
      <c r="AH23">
        <v>0</v>
      </c>
      <c r="AI23">
        <v>31.052177400000001</v>
      </c>
      <c r="AJ23">
        <v>0.1558069</v>
      </c>
      <c r="AK23">
        <v>1</v>
      </c>
      <c r="AL23">
        <v>0.29923159999999999</v>
      </c>
      <c r="AM23">
        <v>1</v>
      </c>
      <c r="AN23">
        <v>1</v>
      </c>
      <c r="AO23">
        <v>16</v>
      </c>
      <c r="AP23">
        <v>16</v>
      </c>
      <c r="AQ23">
        <v>1417</v>
      </c>
      <c r="AR23">
        <v>721</v>
      </c>
      <c r="AS23">
        <v>2025</v>
      </c>
      <c r="AT23" s="23">
        <v>45793</v>
      </c>
      <c r="AU23" s="23" t="s">
        <v>29</v>
      </c>
      <c r="AV23">
        <v>0</v>
      </c>
      <c r="AW23">
        <v>473271.4</v>
      </c>
      <c r="AX23">
        <v>4912312.5</v>
      </c>
      <c r="AY23">
        <v>1256.63706143591</v>
      </c>
      <c r="AZ23">
        <v>125663.706143591</v>
      </c>
      <c r="BA23">
        <v>0.31958259999999999</v>
      </c>
      <c r="BB23">
        <v>0.36455019999999999</v>
      </c>
      <c r="BC23">
        <v>0.41286390000000001</v>
      </c>
      <c r="BD23">
        <v>2.0350900000000002E-2</v>
      </c>
      <c r="BE23">
        <v>6.5318600000000004E-2</v>
      </c>
      <c r="BF23">
        <v>0.1136322</v>
      </c>
    </row>
    <row r="24" spans="1:58">
      <c r="A24">
        <v>3665</v>
      </c>
      <c r="B24" t="s">
        <v>105</v>
      </c>
      <c r="C24" t="s">
        <v>86</v>
      </c>
      <c r="G24" s="23">
        <v>43668</v>
      </c>
      <c r="H24">
        <v>3</v>
      </c>
      <c r="I24">
        <v>3515</v>
      </c>
      <c r="J24">
        <v>8</v>
      </c>
      <c r="K24">
        <v>6</v>
      </c>
      <c r="L24">
        <v>6</v>
      </c>
      <c r="M24">
        <v>8</v>
      </c>
      <c r="N24">
        <v>0.79400000000000004</v>
      </c>
      <c r="O24">
        <v>0.59799999999999998</v>
      </c>
      <c r="P24">
        <v>0.59799999999999998</v>
      </c>
      <c r="Q24">
        <v>0.79400000000000004</v>
      </c>
      <c r="R24">
        <v>-123.3326874</v>
      </c>
      <c r="S24">
        <v>44.343448600000002</v>
      </c>
      <c r="T24">
        <v>7</v>
      </c>
      <c r="U24">
        <v>0.81705879999999997</v>
      </c>
      <c r="V24">
        <v>0.2172742</v>
      </c>
      <c r="W24">
        <v>473481.53125</v>
      </c>
      <c r="X24">
        <v>4910073.5</v>
      </c>
      <c r="Y24">
        <v>0</v>
      </c>
      <c r="AA24">
        <v>5</v>
      </c>
      <c r="AB24">
        <v>5.5170000000000002E-4</v>
      </c>
      <c r="AC24">
        <v>0.5</v>
      </c>
      <c r="AD24">
        <v>0</v>
      </c>
      <c r="AE24">
        <v>8</v>
      </c>
      <c r="AF24">
        <v>0.33477580000000001</v>
      </c>
      <c r="AG24">
        <v>0.79400000000000004</v>
      </c>
      <c r="AH24">
        <v>0</v>
      </c>
      <c r="AI24">
        <v>31.052177400000001</v>
      </c>
      <c r="AJ24">
        <v>1E-4</v>
      </c>
      <c r="AK24">
        <v>0</v>
      </c>
      <c r="AL24">
        <v>0.32303850000000001</v>
      </c>
      <c r="AM24">
        <v>1</v>
      </c>
      <c r="AN24">
        <v>1</v>
      </c>
      <c r="AO24">
        <v>17</v>
      </c>
      <c r="AP24">
        <v>17</v>
      </c>
      <c r="AQ24">
        <v>3515</v>
      </c>
      <c r="AR24">
        <v>722</v>
      </c>
      <c r="AS24">
        <v>2025</v>
      </c>
      <c r="AT24" s="23">
        <v>45793</v>
      </c>
      <c r="AU24" s="23" t="s">
        <v>29</v>
      </c>
      <c r="AV24">
        <v>0</v>
      </c>
      <c r="AW24">
        <v>473481.53</v>
      </c>
      <c r="AX24">
        <v>4910073.5</v>
      </c>
      <c r="AY24">
        <v>1256.63706143591</v>
      </c>
      <c r="AZ24">
        <v>125663.706143591</v>
      </c>
      <c r="BA24">
        <v>7.9576999999999998E-3</v>
      </c>
      <c r="BB24">
        <v>7.9580000000000004E-4</v>
      </c>
      <c r="BC24">
        <v>7.9580000000000004E-4</v>
      </c>
      <c r="BD24">
        <v>-0.31508079999999999</v>
      </c>
      <c r="BE24">
        <v>-0.32224269999999999</v>
      </c>
      <c r="BF24">
        <v>-0.32224269999999999</v>
      </c>
    </row>
    <row r="25" spans="1:58">
      <c r="A25">
        <v>3898</v>
      </c>
      <c r="B25" t="s">
        <v>97</v>
      </c>
      <c r="C25" t="s">
        <v>98</v>
      </c>
      <c r="D25" t="s">
        <v>99</v>
      </c>
      <c r="G25" s="23">
        <v>43668</v>
      </c>
      <c r="H25">
        <v>3</v>
      </c>
      <c r="I25">
        <v>3708</v>
      </c>
      <c r="J25">
        <v>8</v>
      </c>
      <c r="K25">
        <v>8</v>
      </c>
      <c r="L25">
        <v>8</v>
      </c>
      <c r="M25">
        <v>8</v>
      </c>
      <c r="N25">
        <v>0.79400000000000004</v>
      </c>
      <c r="O25">
        <v>0.79400000000000004</v>
      </c>
      <c r="P25">
        <v>0.79400000000000004</v>
      </c>
      <c r="Q25">
        <v>0.79400000000000004</v>
      </c>
      <c r="R25">
        <v>-123.2808151</v>
      </c>
      <c r="S25">
        <v>44.408245100000002</v>
      </c>
      <c r="T25">
        <v>8</v>
      </c>
      <c r="U25">
        <v>0.93235299999999999</v>
      </c>
      <c r="V25">
        <v>0.43817919999999999</v>
      </c>
      <c r="W25">
        <v>477640.59375</v>
      </c>
      <c r="X25">
        <v>4917255.5</v>
      </c>
      <c r="Y25">
        <v>0</v>
      </c>
      <c r="AA25">
        <v>8</v>
      </c>
      <c r="AB25">
        <v>0.26548759999999999</v>
      </c>
      <c r="AC25">
        <v>0.79400000000000004</v>
      </c>
      <c r="AD25">
        <v>0</v>
      </c>
      <c r="AE25">
        <v>7</v>
      </c>
      <c r="AF25">
        <v>0.18200050000000001</v>
      </c>
      <c r="AG25">
        <v>0.69599999999999995</v>
      </c>
      <c r="AH25">
        <v>0</v>
      </c>
      <c r="AI25">
        <v>31.052177400000001</v>
      </c>
      <c r="AJ25">
        <v>6.8135000000000001E-3</v>
      </c>
      <c r="AK25">
        <v>0</v>
      </c>
      <c r="AL25">
        <v>0.48643370000000002</v>
      </c>
      <c r="AM25">
        <v>1</v>
      </c>
      <c r="AN25">
        <v>1</v>
      </c>
      <c r="AO25">
        <v>11</v>
      </c>
      <c r="AP25">
        <v>11</v>
      </c>
      <c r="AQ25">
        <v>3708</v>
      </c>
      <c r="AR25">
        <v>716</v>
      </c>
      <c r="AS25">
        <v>2025</v>
      </c>
      <c r="AT25" s="23">
        <v>45793</v>
      </c>
      <c r="AU25" s="23" t="s">
        <v>29</v>
      </c>
      <c r="AV25">
        <v>0</v>
      </c>
      <c r="AW25">
        <v>477640.59</v>
      </c>
      <c r="AX25">
        <v>4917255.5</v>
      </c>
      <c r="AY25">
        <v>1256.63706143591</v>
      </c>
      <c r="AZ25">
        <v>125663.706143591</v>
      </c>
      <c r="BA25">
        <v>3.4486E-3</v>
      </c>
      <c r="BB25">
        <v>1.5915E-3</v>
      </c>
      <c r="BC25">
        <v>1.5915E-3</v>
      </c>
      <c r="BD25">
        <v>-0.482985</v>
      </c>
      <c r="BE25">
        <v>-0.4848421</v>
      </c>
      <c r="BF25">
        <v>-0.4848421</v>
      </c>
    </row>
    <row r="26" spans="1:58">
      <c r="A26">
        <v>3899</v>
      </c>
      <c r="B26" t="s">
        <v>97</v>
      </c>
      <c r="C26" t="s">
        <v>98</v>
      </c>
      <c r="D26" t="s">
        <v>99</v>
      </c>
      <c r="G26" s="23">
        <v>43668</v>
      </c>
      <c r="H26">
        <v>3</v>
      </c>
      <c r="I26">
        <v>3709</v>
      </c>
      <c r="J26">
        <v>8</v>
      </c>
      <c r="K26">
        <v>8</v>
      </c>
      <c r="L26">
        <v>8</v>
      </c>
      <c r="M26">
        <v>8</v>
      </c>
      <c r="N26">
        <v>0.79400000000000004</v>
      </c>
      <c r="O26">
        <v>0.79400000000000004</v>
      </c>
      <c r="P26">
        <v>0.79400000000000004</v>
      </c>
      <c r="Q26">
        <v>0.79400000000000004</v>
      </c>
      <c r="R26">
        <v>-123.2822113</v>
      </c>
      <c r="S26">
        <v>44.402477300000001</v>
      </c>
      <c r="T26">
        <v>8</v>
      </c>
      <c r="U26">
        <v>0.93235299999999999</v>
      </c>
      <c r="V26">
        <v>0.27370549999999999</v>
      </c>
      <c r="W26">
        <v>477527.6875</v>
      </c>
      <c r="X26">
        <v>4916615.5</v>
      </c>
      <c r="Y26">
        <v>1</v>
      </c>
      <c r="Z26">
        <v>0</v>
      </c>
      <c r="AA26">
        <v>7</v>
      </c>
      <c r="AB26">
        <v>0.2035872</v>
      </c>
      <c r="AC26">
        <v>0.69599999999999995</v>
      </c>
      <c r="AD26">
        <v>0</v>
      </c>
      <c r="AE26">
        <v>8</v>
      </c>
      <c r="AF26">
        <v>0.56085830000000003</v>
      </c>
      <c r="AG26">
        <v>0.79400000000000004</v>
      </c>
      <c r="AH26">
        <v>0</v>
      </c>
      <c r="AI26">
        <v>31.052177400000001</v>
      </c>
      <c r="AJ26">
        <v>0.43164400000000003</v>
      </c>
      <c r="AK26">
        <v>1</v>
      </c>
      <c r="AL26">
        <v>0.63388359999999999</v>
      </c>
      <c r="AM26">
        <v>1</v>
      </c>
      <c r="AN26">
        <v>1</v>
      </c>
      <c r="AO26">
        <v>12</v>
      </c>
      <c r="AP26">
        <v>12</v>
      </c>
      <c r="AQ26">
        <v>3709</v>
      </c>
      <c r="AR26">
        <v>717</v>
      </c>
      <c r="AS26">
        <v>2025</v>
      </c>
      <c r="AT26" s="23">
        <v>45793</v>
      </c>
      <c r="AU26" s="23" t="s">
        <v>29</v>
      </c>
      <c r="AV26">
        <v>0</v>
      </c>
      <c r="AW26">
        <v>477527.679999999</v>
      </c>
      <c r="AX26">
        <v>4916615.5</v>
      </c>
      <c r="AY26">
        <v>1256.63706143591</v>
      </c>
      <c r="AZ26">
        <v>125663.706143591</v>
      </c>
      <c r="BA26">
        <v>7.8490000000000005E-4</v>
      </c>
      <c r="BB26">
        <v>7.8490000000000005E-4</v>
      </c>
      <c r="BC26">
        <v>7.9580000000000004E-4</v>
      </c>
      <c r="BD26">
        <v>-0.63309870000000001</v>
      </c>
      <c r="BE26">
        <v>-0.63309870000000001</v>
      </c>
      <c r="BF26">
        <v>-0.63308779999999998</v>
      </c>
    </row>
    <row r="27" spans="1:58">
      <c r="A27">
        <v>4114</v>
      </c>
      <c r="B27" t="s">
        <v>106</v>
      </c>
      <c r="C27" t="s">
        <v>86</v>
      </c>
      <c r="G27" s="23">
        <v>43668</v>
      </c>
      <c r="H27">
        <v>3</v>
      </c>
      <c r="I27">
        <v>3863</v>
      </c>
      <c r="J27">
        <v>8</v>
      </c>
      <c r="K27">
        <v>8</v>
      </c>
      <c r="L27">
        <v>8</v>
      </c>
      <c r="M27">
        <v>8</v>
      </c>
      <c r="N27">
        <v>0.79400000000000004</v>
      </c>
      <c r="O27">
        <v>0.79400000000000004</v>
      </c>
      <c r="P27">
        <v>0.79400000000000004</v>
      </c>
      <c r="Q27">
        <v>0.79400000000000004</v>
      </c>
      <c r="R27">
        <v>-123.2499847</v>
      </c>
      <c r="S27">
        <v>44.377231600000002</v>
      </c>
      <c r="T27">
        <v>8</v>
      </c>
      <c r="U27">
        <v>0.93235299999999999</v>
      </c>
      <c r="V27">
        <v>0.30746780000000001</v>
      </c>
      <c r="W27">
        <v>480085.21875</v>
      </c>
      <c r="X27">
        <v>4913802.5</v>
      </c>
      <c r="Y27">
        <v>0</v>
      </c>
      <c r="AA27">
        <v>7</v>
      </c>
      <c r="AB27">
        <v>0.1167118</v>
      </c>
      <c r="AC27">
        <v>0.69599999999999995</v>
      </c>
      <c r="AD27">
        <v>1</v>
      </c>
      <c r="AE27">
        <v>7</v>
      </c>
      <c r="AF27">
        <v>0.116827</v>
      </c>
      <c r="AG27">
        <v>0.69599999999999995</v>
      </c>
      <c r="AH27">
        <v>0</v>
      </c>
      <c r="AI27">
        <v>31.052177400000001</v>
      </c>
      <c r="AJ27">
        <v>0.1021355</v>
      </c>
      <c r="AK27">
        <v>1</v>
      </c>
      <c r="AL27">
        <v>0.50449500000000003</v>
      </c>
      <c r="AM27">
        <v>1</v>
      </c>
      <c r="AN27">
        <v>1</v>
      </c>
      <c r="AO27">
        <v>14</v>
      </c>
      <c r="AP27">
        <v>14</v>
      </c>
      <c r="AQ27">
        <v>3863</v>
      </c>
      <c r="AR27">
        <v>719</v>
      </c>
      <c r="AS27">
        <v>2025</v>
      </c>
      <c r="AT27" s="23">
        <v>45793</v>
      </c>
      <c r="AU27" s="23" t="s">
        <v>29</v>
      </c>
      <c r="AV27">
        <v>0</v>
      </c>
      <c r="AW27">
        <v>480085.21</v>
      </c>
      <c r="AX27">
        <v>4913802.5</v>
      </c>
      <c r="AY27">
        <v>1256.63706143591</v>
      </c>
      <c r="AZ27">
        <v>125663.706143591</v>
      </c>
      <c r="BA27">
        <v>7.9580000000000004E-4</v>
      </c>
      <c r="BB27">
        <v>1.5915E-3</v>
      </c>
      <c r="BC27">
        <v>7.9580000000000004E-4</v>
      </c>
      <c r="BD27">
        <v>-0.50369920000000001</v>
      </c>
      <c r="BE27">
        <v>-0.5029034</v>
      </c>
      <c r="BF27">
        <v>-0.50369920000000001</v>
      </c>
    </row>
    <row r="28" spans="1:58">
      <c r="A28">
        <v>4404</v>
      </c>
      <c r="B28" t="s">
        <v>107</v>
      </c>
      <c r="C28" t="s">
        <v>86</v>
      </c>
      <c r="G28" s="23">
        <v>43668</v>
      </c>
      <c r="H28">
        <v>3</v>
      </c>
      <c r="I28">
        <v>4070</v>
      </c>
      <c r="J28">
        <v>7</v>
      </c>
      <c r="K28">
        <v>8</v>
      </c>
      <c r="L28">
        <v>8</v>
      </c>
      <c r="M28">
        <v>8</v>
      </c>
      <c r="N28">
        <v>0.69599999999999995</v>
      </c>
      <c r="O28">
        <v>0.79400000000000004</v>
      </c>
      <c r="P28">
        <v>0.79400000000000004</v>
      </c>
      <c r="Q28">
        <v>0.79400000000000004</v>
      </c>
      <c r="R28">
        <v>-123.31446080000001</v>
      </c>
      <c r="S28">
        <v>44.3038788</v>
      </c>
      <c r="T28">
        <v>7.75</v>
      </c>
      <c r="U28">
        <v>0.90352940000000004</v>
      </c>
      <c r="V28">
        <v>0.2663953</v>
      </c>
      <c r="W28">
        <v>474917.375</v>
      </c>
      <c r="X28">
        <v>4905673</v>
      </c>
      <c r="Y28">
        <v>1</v>
      </c>
      <c r="Z28">
        <v>0</v>
      </c>
      <c r="AA28">
        <v>8</v>
      </c>
      <c r="AB28">
        <v>0.38299830000000001</v>
      </c>
      <c r="AC28">
        <v>0.79400000000000004</v>
      </c>
      <c r="AD28">
        <v>0</v>
      </c>
      <c r="AE28">
        <v>8</v>
      </c>
      <c r="AF28">
        <v>0.2348063</v>
      </c>
      <c r="AG28">
        <v>0.79400000000000004</v>
      </c>
      <c r="AH28">
        <v>0</v>
      </c>
      <c r="AI28">
        <v>31.052177400000001</v>
      </c>
      <c r="AJ28">
        <v>0.23302590000000001</v>
      </c>
      <c r="AK28">
        <v>1</v>
      </c>
      <c r="AL28">
        <v>0.30933519999999998</v>
      </c>
      <c r="AM28">
        <v>1</v>
      </c>
      <c r="AN28">
        <v>1</v>
      </c>
      <c r="AO28">
        <v>18</v>
      </c>
      <c r="AP28">
        <v>18</v>
      </c>
      <c r="AQ28">
        <v>4070</v>
      </c>
      <c r="AR28">
        <v>723</v>
      </c>
      <c r="AS28">
        <v>2025</v>
      </c>
      <c r="AT28" s="23">
        <v>45793</v>
      </c>
      <c r="AU28" s="23" t="s">
        <v>29</v>
      </c>
      <c r="AV28">
        <v>0</v>
      </c>
      <c r="AW28">
        <v>474917.36999999901</v>
      </c>
      <c r="AX28">
        <v>4905673</v>
      </c>
      <c r="AY28">
        <v>1256.63706143591</v>
      </c>
      <c r="AZ28">
        <v>125663.706143591</v>
      </c>
      <c r="BA28">
        <v>0.17396780000000001</v>
      </c>
      <c r="BB28">
        <v>6.9439999999999997E-4</v>
      </c>
      <c r="BC28">
        <v>7.9580000000000004E-4</v>
      </c>
      <c r="BD28">
        <v>-0.1353674</v>
      </c>
      <c r="BE28">
        <v>-0.30864069999999999</v>
      </c>
      <c r="BF28">
        <v>-0.30853940000000002</v>
      </c>
    </row>
    <row r="29" spans="1:58">
      <c r="A29">
        <v>4761</v>
      </c>
      <c r="B29" t="s">
        <v>108</v>
      </c>
      <c r="C29" t="s">
        <v>86</v>
      </c>
      <c r="G29" s="23">
        <v>43668</v>
      </c>
      <c r="H29">
        <v>3</v>
      </c>
      <c r="I29">
        <v>4316</v>
      </c>
      <c r="J29">
        <v>7</v>
      </c>
      <c r="K29">
        <v>7</v>
      </c>
      <c r="L29">
        <v>6</v>
      </c>
      <c r="M29">
        <v>7</v>
      </c>
      <c r="N29">
        <v>0.69599999999999995</v>
      </c>
      <c r="O29">
        <v>0.69599999999999995</v>
      </c>
      <c r="P29">
        <v>0.59799999999999998</v>
      </c>
      <c r="Q29">
        <v>0.69599999999999995</v>
      </c>
      <c r="R29">
        <v>-123.2628632</v>
      </c>
      <c r="S29">
        <v>44.390464799999997</v>
      </c>
      <c r="T29">
        <v>6.75</v>
      </c>
      <c r="U29">
        <v>0.78823529999999997</v>
      </c>
      <c r="V29">
        <v>1.9139999999999999E-4</v>
      </c>
      <c r="W29">
        <v>479063.71875</v>
      </c>
      <c r="X29">
        <v>4915276</v>
      </c>
      <c r="Y29">
        <v>0</v>
      </c>
      <c r="AA29">
        <v>6</v>
      </c>
      <c r="AB29">
        <v>7.6714000000000001E-3</v>
      </c>
      <c r="AC29">
        <v>0.59799999999999998</v>
      </c>
      <c r="AD29">
        <v>1</v>
      </c>
      <c r="AE29">
        <v>6</v>
      </c>
      <c r="AF29">
        <v>8.2082000000000006E-3</v>
      </c>
      <c r="AG29">
        <v>0.59799999999999998</v>
      </c>
      <c r="AH29">
        <v>0</v>
      </c>
      <c r="AI29">
        <v>31.052177400000001</v>
      </c>
      <c r="AJ29">
        <v>0.37267400000000001</v>
      </c>
      <c r="AK29">
        <v>1</v>
      </c>
      <c r="AL29">
        <v>0.24075869999999999</v>
      </c>
      <c r="AM29">
        <v>1</v>
      </c>
      <c r="AN29">
        <v>1</v>
      </c>
      <c r="AO29">
        <v>13</v>
      </c>
      <c r="AP29">
        <v>13</v>
      </c>
      <c r="AQ29">
        <v>4316</v>
      </c>
      <c r="AR29">
        <v>718</v>
      </c>
      <c r="AS29">
        <v>2025</v>
      </c>
      <c r="AT29" s="23">
        <v>45793</v>
      </c>
      <c r="AU29" s="23" t="s">
        <v>29</v>
      </c>
      <c r="AV29">
        <v>0</v>
      </c>
      <c r="AW29">
        <v>479063.71</v>
      </c>
      <c r="AX29">
        <v>4915276</v>
      </c>
      <c r="AY29">
        <v>1256.63706143591</v>
      </c>
      <c r="AZ29">
        <v>125663.706143591</v>
      </c>
      <c r="BA29">
        <v>2.3873000000000002E-3</v>
      </c>
      <c r="BB29">
        <v>2.3873000000000002E-3</v>
      </c>
      <c r="BC29">
        <v>1.5915E-3</v>
      </c>
      <c r="BD29">
        <v>-0.23837130000000001</v>
      </c>
      <c r="BE29">
        <v>-0.23837130000000001</v>
      </c>
      <c r="BF29">
        <v>-0.23916709999999999</v>
      </c>
    </row>
    <row r="30" spans="1:58">
      <c r="A30">
        <v>5231</v>
      </c>
      <c r="B30" t="s">
        <v>97</v>
      </c>
      <c r="C30" t="s">
        <v>98</v>
      </c>
      <c r="D30" t="s">
        <v>99</v>
      </c>
      <c r="G30" s="23">
        <v>43668</v>
      </c>
      <c r="H30">
        <v>3</v>
      </c>
      <c r="I30">
        <v>4684</v>
      </c>
      <c r="J30">
        <v>6</v>
      </c>
      <c r="K30">
        <v>7</v>
      </c>
      <c r="L30">
        <v>6</v>
      </c>
      <c r="M30">
        <v>7</v>
      </c>
      <c r="N30">
        <v>0.59799999999999998</v>
      </c>
      <c r="O30">
        <v>0.69599999999999995</v>
      </c>
      <c r="P30">
        <v>0.59799999999999998</v>
      </c>
      <c r="Q30">
        <v>0.69599999999999995</v>
      </c>
      <c r="R30">
        <v>-123.2792664</v>
      </c>
      <c r="S30">
        <v>44.417163799999997</v>
      </c>
      <c r="T30">
        <v>6.5</v>
      </c>
      <c r="U30">
        <v>0.75941179999999997</v>
      </c>
      <c r="V30">
        <v>1.9231999999999999E-3</v>
      </c>
      <c r="W30">
        <v>477767.34375</v>
      </c>
      <c r="X30">
        <v>4918245.5</v>
      </c>
      <c r="Y30">
        <v>0</v>
      </c>
      <c r="AA30">
        <v>4</v>
      </c>
      <c r="AB30">
        <v>0</v>
      </c>
      <c r="AC30">
        <v>0.40200000000000002</v>
      </c>
      <c r="AD30">
        <v>0</v>
      </c>
      <c r="AE30">
        <v>5</v>
      </c>
      <c r="AF30">
        <v>4.1550000000000002E-4</v>
      </c>
      <c r="AG30">
        <v>0.5</v>
      </c>
      <c r="AH30">
        <v>0</v>
      </c>
      <c r="AI30">
        <v>31.052177400000001</v>
      </c>
      <c r="AJ30">
        <v>1E-4</v>
      </c>
      <c r="AK30">
        <v>0</v>
      </c>
      <c r="AL30">
        <v>0.27606140000000001</v>
      </c>
      <c r="AM30">
        <v>1</v>
      </c>
      <c r="AN30">
        <v>1</v>
      </c>
      <c r="AO30">
        <v>10</v>
      </c>
      <c r="AP30">
        <v>10</v>
      </c>
      <c r="AQ30">
        <v>4684</v>
      </c>
      <c r="AR30">
        <v>715</v>
      </c>
      <c r="AS30">
        <v>2025</v>
      </c>
      <c r="AT30" s="23">
        <v>45793</v>
      </c>
      <c r="AU30" s="23" t="s">
        <v>29</v>
      </c>
      <c r="AV30">
        <v>0</v>
      </c>
      <c r="AW30">
        <v>477767.34</v>
      </c>
      <c r="AX30">
        <v>4918245.5</v>
      </c>
      <c r="AY30">
        <v>1256.63706143591</v>
      </c>
      <c r="AZ30">
        <v>125663.706143591</v>
      </c>
      <c r="BA30">
        <v>5.9310000000000005E-4</v>
      </c>
      <c r="BB30">
        <v>7.9580000000000004E-4</v>
      </c>
      <c r="BC30">
        <v>3.9788999999999996E-3</v>
      </c>
      <c r="BD30">
        <v>-0.2754683</v>
      </c>
      <c r="BE30">
        <v>-0.2752657</v>
      </c>
      <c r="BF30">
        <v>-0.27208260000000001</v>
      </c>
    </row>
    <row r="31" spans="1:58">
      <c r="A31">
        <v>5748</v>
      </c>
      <c r="B31" t="s">
        <v>109</v>
      </c>
      <c r="C31" t="s">
        <v>86</v>
      </c>
      <c r="G31" s="23">
        <v>43668</v>
      </c>
      <c r="H31">
        <v>3</v>
      </c>
      <c r="I31">
        <v>5091</v>
      </c>
      <c r="J31">
        <v>6</v>
      </c>
      <c r="K31">
        <v>6</v>
      </c>
      <c r="L31">
        <v>6</v>
      </c>
      <c r="M31">
        <v>6</v>
      </c>
      <c r="N31">
        <v>0.59799999999999998</v>
      </c>
      <c r="O31">
        <v>0.59799999999999998</v>
      </c>
      <c r="P31">
        <v>0.59799999999999998</v>
      </c>
      <c r="Q31">
        <v>0.59799999999999998</v>
      </c>
      <c r="R31">
        <v>-123.2442017</v>
      </c>
      <c r="S31">
        <v>44.367816900000001</v>
      </c>
      <c r="T31">
        <v>6</v>
      </c>
      <c r="U31">
        <v>0.70176470000000002</v>
      </c>
      <c r="V31">
        <v>0</v>
      </c>
      <c r="W31">
        <v>480542.9375</v>
      </c>
      <c r="X31">
        <v>4912756</v>
      </c>
      <c r="Y31">
        <v>0</v>
      </c>
      <c r="AA31">
        <v>5</v>
      </c>
      <c r="AB31">
        <v>0</v>
      </c>
      <c r="AC31">
        <v>0.5</v>
      </c>
      <c r="AD31">
        <v>0</v>
      </c>
      <c r="AE31">
        <v>5</v>
      </c>
      <c r="AF31">
        <v>0</v>
      </c>
      <c r="AG31">
        <v>0.5</v>
      </c>
      <c r="AH31">
        <v>0</v>
      </c>
      <c r="AI31">
        <v>31.052177400000001</v>
      </c>
      <c r="AJ31">
        <v>3.2248499999999999E-2</v>
      </c>
      <c r="AK31">
        <v>0</v>
      </c>
      <c r="AL31">
        <v>0.39766439999999997</v>
      </c>
      <c r="AM31">
        <v>1</v>
      </c>
      <c r="AN31">
        <v>1</v>
      </c>
      <c r="AO31">
        <v>15</v>
      </c>
      <c r="AP31">
        <v>15</v>
      </c>
      <c r="AQ31">
        <v>5091</v>
      </c>
      <c r="AR31">
        <v>720</v>
      </c>
      <c r="AS31">
        <v>2025</v>
      </c>
      <c r="AT31" s="23">
        <v>45793</v>
      </c>
      <c r="AU31" s="23" t="s">
        <v>29</v>
      </c>
      <c r="AV31">
        <v>0</v>
      </c>
      <c r="AW31">
        <v>480542.929999999</v>
      </c>
      <c r="AX31">
        <v>4912756</v>
      </c>
      <c r="AY31">
        <v>1256.63706143591</v>
      </c>
      <c r="AZ31">
        <v>125663.706143591</v>
      </c>
      <c r="BA31">
        <v>0.49713570000000001</v>
      </c>
      <c r="BB31">
        <v>0.52663890000000002</v>
      </c>
      <c r="BC31">
        <v>7.9580000000000004E-4</v>
      </c>
      <c r="BD31">
        <v>9.9471400000000001E-2</v>
      </c>
      <c r="BE31">
        <v>0.12897459999999999</v>
      </c>
      <c r="BF31">
        <v>-0.39686860000000002</v>
      </c>
    </row>
    <row r="32" spans="1:58">
      <c r="A32">
        <v>525</v>
      </c>
      <c r="B32" t="s">
        <v>110</v>
      </c>
      <c r="C32" t="s">
        <v>86</v>
      </c>
      <c r="G32" s="23">
        <v>43668</v>
      </c>
      <c r="H32">
        <v>3</v>
      </c>
      <c r="I32">
        <v>960</v>
      </c>
      <c r="J32">
        <v>0</v>
      </c>
      <c r="K32">
        <v>0</v>
      </c>
      <c r="L32">
        <v>0</v>
      </c>
      <c r="M32">
        <v>0</v>
      </c>
      <c r="N32">
        <v>0.01</v>
      </c>
      <c r="O32">
        <v>0.01</v>
      </c>
      <c r="P32">
        <v>0.01</v>
      </c>
      <c r="Q32">
        <v>0.01</v>
      </c>
      <c r="R32">
        <v>-123.2923737</v>
      </c>
      <c r="S32">
        <v>44.741951</v>
      </c>
      <c r="T32">
        <v>0</v>
      </c>
      <c r="U32">
        <v>0.01</v>
      </c>
      <c r="V32">
        <v>0</v>
      </c>
      <c r="W32">
        <v>476853.34375</v>
      </c>
      <c r="X32">
        <v>4954326.5</v>
      </c>
      <c r="Y32">
        <v>0</v>
      </c>
      <c r="AA32">
        <v>3</v>
      </c>
      <c r="AB32">
        <v>0</v>
      </c>
      <c r="AC32">
        <v>0.30399999999999999</v>
      </c>
      <c r="AD32">
        <v>0</v>
      </c>
      <c r="AE32">
        <v>8</v>
      </c>
      <c r="AF32">
        <v>0.32970260000000001</v>
      </c>
      <c r="AG32">
        <v>0.79400000000000004</v>
      </c>
      <c r="AH32">
        <v>0</v>
      </c>
      <c r="AI32">
        <v>31.052177400000001</v>
      </c>
      <c r="AJ32">
        <v>0.28608139999999999</v>
      </c>
      <c r="AK32">
        <v>1</v>
      </c>
      <c r="AL32">
        <v>0.28187830000000003</v>
      </c>
      <c r="AM32">
        <v>1</v>
      </c>
      <c r="AN32">
        <v>1</v>
      </c>
      <c r="AO32">
        <v>1</v>
      </c>
      <c r="AP32">
        <v>1</v>
      </c>
      <c r="AQ32">
        <v>960</v>
      </c>
      <c r="AR32">
        <v>706</v>
      </c>
      <c r="AS32">
        <v>2025</v>
      </c>
      <c r="AT32" s="23">
        <v>45797</v>
      </c>
      <c r="AU32" s="23" t="s">
        <v>29</v>
      </c>
      <c r="AV32">
        <v>1</v>
      </c>
      <c r="AW32">
        <v>476853.34</v>
      </c>
      <c r="AX32">
        <v>4954326.5</v>
      </c>
      <c r="AY32">
        <v>1256.63706143591</v>
      </c>
      <c r="AZ32">
        <v>125663.706143591</v>
      </c>
      <c r="BA32">
        <v>0.3038903</v>
      </c>
      <c r="BB32">
        <v>0.52907249999999995</v>
      </c>
      <c r="BC32">
        <v>0.51861840000000003</v>
      </c>
      <c r="BD32">
        <v>2.2012E-2</v>
      </c>
      <c r="BE32">
        <v>0.2471942</v>
      </c>
      <c r="BF32">
        <v>0.23674010000000001</v>
      </c>
    </row>
    <row r="33" spans="1:58">
      <c r="A33">
        <v>1645</v>
      </c>
      <c r="B33" t="s">
        <v>111</v>
      </c>
      <c r="C33" t="s">
        <v>86</v>
      </c>
      <c r="G33" s="23">
        <v>43668</v>
      </c>
      <c r="H33">
        <v>2</v>
      </c>
      <c r="I33">
        <v>1896</v>
      </c>
      <c r="J33">
        <v>5</v>
      </c>
      <c r="K33">
        <v>5</v>
      </c>
      <c r="L33">
        <v>6</v>
      </c>
      <c r="M33">
        <v>6</v>
      </c>
      <c r="N33">
        <v>0.5</v>
      </c>
      <c r="O33">
        <v>0.5</v>
      </c>
      <c r="P33">
        <v>0.59799999999999998</v>
      </c>
      <c r="Q33">
        <v>0.59799999999999998</v>
      </c>
      <c r="R33">
        <v>-122.89865880000001</v>
      </c>
      <c r="S33">
        <v>44.600814800000002</v>
      </c>
      <c r="T33">
        <v>5.5</v>
      </c>
      <c r="U33">
        <v>0.64411770000000002</v>
      </c>
      <c r="V33">
        <v>0</v>
      </c>
      <c r="W33">
        <v>508042.53125</v>
      </c>
      <c r="X33">
        <v>4938612.5</v>
      </c>
      <c r="Y33">
        <v>1</v>
      </c>
      <c r="Z33">
        <v>0</v>
      </c>
      <c r="AA33">
        <v>4</v>
      </c>
      <c r="AB33">
        <v>0</v>
      </c>
      <c r="AC33">
        <v>0.40200000000000002</v>
      </c>
      <c r="AD33">
        <v>0</v>
      </c>
      <c r="AE33">
        <v>4</v>
      </c>
      <c r="AF33">
        <v>0</v>
      </c>
      <c r="AG33">
        <v>0.40200000000000002</v>
      </c>
      <c r="AH33">
        <v>0</v>
      </c>
      <c r="AI33">
        <v>31.052177400000001</v>
      </c>
      <c r="AJ33">
        <v>1E-4</v>
      </c>
      <c r="AK33">
        <v>0</v>
      </c>
      <c r="AL33">
        <v>0.35385759999999999</v>
      </c>
      <c r="AM33">
        <v>1</v>
      </c>
      <c r="AN33">
        <v>1</v>
      </c>
      <c r="AO33">
        <v>8</v>
      </c>
      <c r="AP33">
        <v>8</v>
      </c>
      <c r="AQ33">
        <v>1896</v>
      </c>
      <c r="AR33">
        <v>713</v>
      </c>
      <c r="AS33">
        <v>2025</v>
      </c>
      <c r="AT33" s="23">
        <v>45797</v>
      </c>
      <c r="AU33" s="23" t="s">
        <v>29</v>
      </c>
      <c r="AV33">
        <v>0</v>
      </c>
      <c r="AW33">
        <v>508042.53</v>
      </c>
      <c r="AX33">
        <v>4938612.5</v>
      </c>
      <c r="AY33">
        <v>1256.63706143591</v>
      </c>
      <c r="AZ33">
        <v>125663.706143591</v>
      </c>
      <c r="BA33">
        <v>4.9870000000000003E-4</v>
      </c>
      <c r="BB33">
        <v>0</v>
      </c>
      <c r="BC33">
        <v>7.9580000000000004E-4</v>
      </c>
      <c r="BD33">
        <v>-0.35335889999999998</v>
      </c>
      <c r="BE33">
        <v>-0.35385759999999999</v>
      </c>
      <c r="BF33">
        <v>-0.35306179999999998</v>
      </c>
    </row>
    <row r="34" spans="1:58">
      <c r="A34">
        <v>2977</v>
      </c>
      <c r="B34" t="s">
        <v>112</v>
      </c>
      <c r="C34" t="s">
        <v>86</v>
      </c>
      <c r="G34" s="23">
        <v>43668</v>
      </c>
      <c r="H34">
        <v>3</v>
      </c>
      <c r="I34">
        <v>2989</v>
      </c>
      <c r="J34">
        <v>8</v>
      </c>
      <c r="K34">
        <v>8</v>
      </c>
      <c r="L34">
        <v>7</v>
      </c>
      <c r="M34">
        <v>7</v>
      </c>
      <c r="N34">
        <v>0.79400000000000004</v>
      </c>
      <c r="O34">
        <v>0.79400000000000004</v>
      </c>
      <c r="P34">
        <v>0.69599999999999995</v>
      </c>
      <c r="Q34">
        <v>0.69599999999999995</v>
      </c>
      <c r="R34">
        <v>-123.2210693</v>
      </c>
      <c r="S34">
        <v>44.283321399999998</v>
      </c>
      <c r="T34">
        <v>7.5</v>
      </c>
      <c r="U34">
        <v>0.87470590000000004</v>
      </c>
      <c r="V34">
        <v>0</v>
      </c>
      <c r="W34">
        <v>482360.25</v>
      </c>
      <c r="X34">
        <v>4903365.5</v>
      </c>
      <c r="Y34">
        <v>0</v>
      </c>
      <c r="AA34">
        <v>4</v>
      </c>
      <c r="AB34">
        <v>0</v>
      </c>
      <c r="AC34">
        <v>0.40200000000000002</v>
      </c>
      <c r="AD34">
        <v>0</v>
      </c>
      <c r="AE34">
        <v>5</v>
      </c>
      <c r="AF34">
        <v>0</v>
      </c>
      <c r="AG34">
        <v>0.5</v>
      </c>
      <c r="AH34">
        <v>0</v>
      </c>
      <c r="AI34">
        <v>31.052177400000001</v>
      </c>
      <c r="AJ34">
        <v>1E-4</v>
      </c>
      <c r="AK34">
        <v>0</v>
      </c>
      <c r="AL34">
        <v>0.26420070000000001</v>
      </c>
      <c r="AM34">
        <v>1</v>
      </c>
      <c r="AN34">
        <v>1</v>
      </c>
      <c r="AO34">
        <v>140</v>
      </c>
      <c r="AP34">
        <v>140</v>
      </c>
      <c r="AQ34">
        <v>2989</v>
      </c>
      <c r="AR34">
        <v>755</v>
      </c>
      <c r="AS34">
        <v>2025</v>
      </c>
      <c r="AT34" s="23">
        <v>45797</v>
      </c>
      <c r="AU34" s="23" t="s">
        <v>29</v>
      </c>
      <c r="AV34">
        <v>0</v>
      </c>
      <c r="AW34">
        <v>482360.25</v>
      </c>
      <c r="AX34">
        <v>4903365.5</v>
      </c>
      <c r="AY34">
        <v>1256.63706143591</v>
      </c>
      <c r="AZ34">
        <v>125663.706143591</v>
      </c>
      <c r="BA34">
        <v>7.9580000000000004E-4</v>
      </c>
      <c r="BB34">
        <v>1.1140799999999999E-2</v>
      </c>
      <c r="BC34">
        <v>7.9580000000000004E-4</v>
      </c>
      <c r="BD34">
        <v>-0.2634049</v>
      </c>
      <c r="BE34">
        <v>-0.2530598</v>
      </c>
      <c r="BF34">
        <v>-0.2634049</v>
      </c>
    </row>
    <row r="35" spans="1:58">
      <c r="A35">
        <v>3102</v>
      </c>
      <c r="B35" t="s">
        <v>113</v>
      </c>
      <c r="C35" t="s">
        <v>114</v>
      </c>
      <c r="G35" s="23">
        <v>43668</v>
      </c>
      <c r="H35">
        <v>3</v>
      </c>
      <c r="I35">
        <v>3086</v>
      </c>
      <c r="J35">
        <v>8</v>
      </c>
      <c r="K35">
        <v>6</v>
      </c>
      <c r="L35">
        <v>6</v>
      </c>
      <c r="M35">
        <v>6</v>
      </c>
      <c r="N35">
        <v>0.79400000000000004</v>
      </c>
      <c r="O35">
        <v>0.59799999999999998</v>
      </c>
      <c r="P35">
        <v>0.59799999999999998</v>
      </c>
      <c r="Q35">
        <v>0.59799999999999998</v>
      </c>
      <c r="R35">
        <v>-123.2284241</v>
      </c>
      <c r="S35">
        <v>44.324188200000002</v>
      </c>
      <c r="T35">
        <v>6.5</v>
      </c>
      <c r="U35">
        <v>0.75941179999999997</v>
      </c>
      <c r="V35">
        <v>0</v>
      </c>
      <c r="W35">
        <v>481786.28125</v>
      </c>
      <c r="X35">
        <v>4907906</v>
      </c>
      <c r="Y35">
        <v>1</v>
      </c>
      <c r="Z35">
        <v>0</v>
      </c>
      <c r="AA35">
        <v>5</v>
      </c>
      <c r="AB35">
        <v>0</v>
      </c>
      <c r="AC35">
        <v>0.5</v>
      </c>
      <c r="AD35">
        <v>0</v>
      </c>
      <c r="AE35">
        <v>8</v>
      </c>
      <c r="AF35">
        <v>0.27836060000000001</v>
      </c>
      <c r="AG35">
        <v>0.79400000000000004</v>
      </c>
      <c r="AH35">
        <v>0</v>
      </c>
      <c r="AI35">
        <v>31.052177400000001</v>
      </c>
      <c r="AJ35">
        <v>1E-4</v>
      </c>
      <c r="AK35">
        <v>0</v>
      </c>
      <c r="AL35">
        <v>0.25958609999999999</v>
      </c>
      <c r="AM35">
        <v>1</v>
      </c>
      <c r="AN35">
        <v>1</v>
      </c>
      <c r="AO35">
        <v>132</v>
      </c>
      <c r="AP35">
        <v>132</v>
      </c>
      <c r="AQ35">
        <v>3086</v>
      </c>
      <c r="AR35">
        <v>747</v>
      </c>
      <c r="AS35">
        <v>2025</v>
      </c>
      <c r="AT35" s="23">
        <v>45797</v>
      </c>
      <c r="AU35" s="23" t="s">
        <v>29</v>
      </c>
      <c r="AV35">
        <v>0</v>
      </c>
      <c r="AW35">
        <v>481786.28</v>
      </c>
      <c r="AX35">
        <v>4907906</v>
      </c>
      <c r="AY35">
        <v>1256.63706143591</v>
      </c>
      <c r="AZ35">
        <v>125663.706143591</v>
      </c>
      <c r="BA35">
        <v>0.31382090000000001</v>
      </c>
      <c r="BB35">
        <v>0.327349</v>
      </c>
      <c r="BC35">
        <v>0.3437577</v>
      </c>
      <c r="BD35">
        <v>5.4234699999999997E-2</v>
      </c>
      <c r="BE35">
        <v>6.7762900000000001E-2</v>
      </c>
      <c r="BF35">
        <v>8.4171599999999999E-2</v>
      </c>
    </row>
    <row r="36" spans="1:58">
      <c r="A36">
        <v>3252</v>
      </c>
      <c r="B36" t="s">
        <v>115</v>
      </c>
      <c r="C36" t="s">
        <v>86</v>
      </c>
      <c r="G36" s="23">
        <v>43668</v>
      </c>
      <c r="H36">
        <v>3</v>
      </c>
      <c r="I36">
        <v>3197</v>
      </c>
      <c r="J36">
        <v>0</v>
      </c>
      <c r="K36">
        <v>0</v>
      </c>
      <c r="L36">
        <v>0</v>
      </c>
      <c r="M36">
        <v>0</v>
      </c>
      <c r="N36">
        <v>0.01</v>
      </c>
      <c r="O36">
        <v>0.01</v>
      </c>
      <c r="P36">
        <v>0.01</v>
      </c>
      <c r="Q36">
        <v>0.01</v>
      </c>
      <c r="R36">
        <v>-123.2678909</v>
      </c>
      <c r="S36">
        <v>44.737110100000002</v>
      </c>
      <c r="T36">
        <v>0</v>
      </c>
      <c r="U36">
        <v>0.01</v>
      </c>
      <c r="V36">
        <v>0</v>
      </c>
      <c r="W36">
        <v>478789.96875</v>
      </c>
      <c r="X36">
        <v>4953782</v>
      </c>
      <c r="Y36">
        <v>0</v>
      </c>
      <c r="AA36">
        <v>3</v>
      </c>
      <c r="AB36">
        <v>0</v>
      </c>
      <c r="AC36">
        <v>0.30399999999999999</v>
      </c>
      <c r="AD36">
        <v>0</v>
      </c>
      <c r="AE36">
        <v>8</v>
      </c>
      <c r="AF36">
        <v>9.9937300000000007E-2</v>
      </c>
      <c r="AG36">
        <v>0.79400000000000004</v>
      </c>
      <c r="AH36">
        <v>0</v>
      </c>
      <c r="AI36">
        <v>31.052177400000001</v>
      </c>
      <c r="AJ36">
        <v>2.09593E-2</v>
      </c>
      <c r="AK36">
        <v>0</v>
      </c>
      <c r="AL36">
        <v>0.59351699999999996</v>
      </c>
      <c r="AM36">
        <v>1</v>
      </c>
      <c r="AN36">
        <v>1</v>
      </c>
      <c r="AO36">
        <v>5</v>
      </c>
      <c r="AP36">
        <v>5</v>
      </c>
      <c r="AQ36">
        <v>3197</v>
      </c>
      <c r="AR36">
        <v>710</v>
      </c>
      <c r="AS36">
        <v>2025</v>
      </c>
      <c r="AT36" s="23">
        <v>45797</v>
      </c>
      <c r="AU36" s="23" t="s">
        <v>29</v>
      </c>
      <c r="AV36">
        <v>1</v>
      </c>
      <c r="AW36">
        <v>478789.96</v>
      </c>
      <c r="AX36">
        <v>4953782</v>
      </c>
      <c r="AY36">
        <v>1256.63706143591</v>
      </c>
      <c r="AZ36">
        <v>125663.706143591</v>
      </c>
      <c r="BA36">
        <v>7.9580000000000004E-4</v>
      </c>
      <c r="BB36">
        <v>7.9580000000000004E-4</v>
      </c>
      <c r="BC36">
        <v>0</v>
      </c>
      <c r="BD36">
        <v>-0.59272119999999995</v>
      </c>
      <c r="BE36">
        <v>-0.59272119999999995</v>
      </c>
      <c r="BF36">
        <v>-0.59351699999999996</v>
      </c>
    </row>
    <row r="37" spans="1:58">
      <c r="A37">
        <v>4017</v>
      </c>
      <c r="B37" t="s">
        <v>116</v>
      </c>
      <c r="C37" t="s">
        <v>88</v>
      </c>
      <c r="G37" s="23">
        <v>43668</v>
      </c>
      <c r="H37">
        <v>3</v>
      </c>
      <c r="I37">
        <v>3791</v>
      </c>
      <c r="J37">
        <v>5</v>
      </c>
      <c r="K37">
        <v>6</v>
      </c>
      <c r="L37">
        <v>5</v>
      </c>
      <c r="M37">
        <v>6</v>
      </c>
      <c r="N37">
        <v>0.5</v>
      </c>
      <c r="O37">
        <v>0.59799999999999998</v>
      </c>
      <c r="P37">
        <v>0.5</v>
      </c>
      <c r="Q37">
        <v>0.59799999999999998</v>
      </c>
      <c r="R37">
        <v>-123.239296</v>
      </c>
      <c r="S37">
        <v>44.519737200000002</v>
      </c>
      <c r="T37">
        <v>5.5</v>
      </c>
      <c r="U37">
        <v>0.64411770000000002</v>
      </c>
      <c r="V37">
        <v>0</v>
      </c>
      <c r="W37">
        <v>480982.65625</v>
      </c>
      <c r="X37">
        <v>4929629.5</v>
      </c>
      <c r="Y37">
        <v>0</v>
      </c>
      <c r="AA37">
        <v>4</v>
      </c>
      <c r="AB37">
        <v>0</v>
      </c>
      <c r="AC37">
        <v>0.40200000000000002</v>
      </c>
      <c r="AD37">
        <v>1</v>
      </c>
      <c r="AE37">
        <v>4</v>
      </c>
      <c r="AF37">
        <v>0</v>
      </c>
      <c r="AG37">
        <v>0.40200000000000002</v>
      </c>
      <c r="AH37">
        <v>0</v>
      </c>
      <c r="AI37">
        <v>31.052177400000001</v>
      </c>
      <c r="AJ37">
        <v>1E-4</v>
      </c>
      <c r="AK37">
        <v>0</v>
      </c>
      <c r="AL37">
        <v>0.27734130000000001</v>
      </c>
      <c r="AM37">
        <v>1</v>
      </c>
      <c r="AN37">
        <v>1</v>
      </c>
      <c r="AO37">
        <v>138</v>
      </c>
      <c r="AP37">
        <v>138</v>
      </c>
      <c r="AQ37">
        <v>3791</v>
      </c>
      <c r="AR37">
        <v>753</v>
      </c>
      <c r="AS37">
        <v>2025</v>
      </c>
      <c r="AT37" s="23">
        <v>45797</v>
      </c>
      <c r="AU37" s="23" t="s">
        <v>29</v>
      </c>
      <c r="AV37">
        <v>0</v>
      </c>
      <c r="AW37">
        <v>480982.65</v>
      </c>
      <c r="AX37">
        <v>4929629.5</v>
      </c>
      <c r="AY37">
        <v>1256.63706143591</v>
      </c>
      <c r="AZ37">
        <v>125663.706143591</v>
      </c>
      <c r="BA37">
        <v>0.31448379999999998</v>
      </c>
      <c r="BB37">
        <v>0.3270593</v>
      </c>
      <c r="BC37">
        <v>7.9580000000000004E-4</v>
      </c>
      <c r="BD37">
        <v>3.7142399999999999E-2</v>
      </c>
      <c r="BE37">
        <v>4.9717999999999998E-2</v>
      </c>
      <c r="BF37">
        <v>-0.2765456</v>
      </c>
    </row>
    <row r="38" spans="1:58">
      <c r="A38">
        <v>4281</v>
      </c>
      <c r="B38" t="s">
        <v>117</v>
      </c>
      <c r="C38" t="s">
        <v>86</v>
      </c>
      <c r="G38" s="23">
        <v>43668</v>
      </c>
      <c r="H38">
        <v>3</v>
      </c>
      <c r="I38">
        <v>3988</v>
      </c>
      <c r="J38">
        <v>8</v>
      </c>
      <c r="K38">
        <v>8</v>
      </c>
      <c r="L38">
        <v>7</v>
      </c>
      <c r="M38">
        <v>8</v>
      </c>
      <c r="N38">
        <v>0.79400000000000004</v>
      </c>
      <c r="O38">
        <v>0.79400000000000004</v>
      </c>
      <c r="P38">
        <v>0.69599999999999995</v>
      </c>
      <c r="Q38">
        <v>0.79400000000000004</v>
      </c>
      <c r="R38">
        <v>-123.2402039</v>
      </c>
      <c r="S38">
        <v>44.302242300000003</v>
      </c>
      <c r="T38">
        <v>7.75</v>
      </c>
      <c r="U38">
        <v>0.90352940000000004</v>
      </c>
      <c r="V38">
        <v>9.5208100000000004E-2</v>
      </c>
      <c r="W38">
        <v>480839.65625</v>
      </c>
      <c r="X38">
        <v>4905471</v>
      </c>
      <c r="Y38">
        <v>0</v>
      </c>
      <c r="AA38">
        <v>7</v>
      </c>
      <c r="AB38">
        <v>0.1468159</v>
      </c>
      <c r="AC38">
        <v>0.69599999999999995</v>
      </c>
      <c r="AD38">
        <v>0</v>
      </c>
      <c r="AE38">
        <v>7</v>
      </c>
      <c r="AF38">
        <v>9.1584899999999997E-2</v>
      </c>
      <c r="AG38">
        <v>0.69599999999999995</v>
      </c>
      <c r="AH38">
        <v>0</v>
      </c>
      <c r="AI38">
        <v>31.052177400000001</v>
      </c>
      <c r="AJ38">
        <v>6.1130999999999998E-3</v>
      </c>
      <c r="AK38">
        <v>0</v>
      </c>
      <c r="AL38">
        <v>0.44041720000000001</v>
      </c>
      <c r="AM38">
        <v>1</v>
      </c>
      <c r="AN38">
        <v>1</v>
      </c>
      <c r="AO38">
        <v>139</v>
      </c>
      <c r="AP38">
        <v>139</v>
      </c>
      <c r="AQ38">
        <v>3988</v>
      </c>
      <c r="AR38">
        <v>754</v>
      </c>
      <c r="AS38">
        <v>2025</v>
      </c>
      <c r="AT38" s="23">
        <v>45797</v>
      </c>
      <c r="AU38" s="23" t="s">
        <v>29</v>
      </c>
      <c r="AV38">
        <v>0</v>
      </c>
      <c r="AW38">
        <v>480839.65</v>
      </c>
      <c r="AX38">
        <v>4905471</v>
      </c>
      <c r="AY38">
        <v>1256.63706143591</v>
      </c>
      <c r="AZ38">
        <v>125663.706143591</v>
      </c>
      <c r="BA38">
        <v>0.4253884</v>
      </c>
      <c r="BB38">
        <v>0.41663489999999997</v>
      </c>
      <c r="BC38">
        <v>7.9580000000000004E-4</v>
      </c>
      <c r="BD38">
        <v>-1.50288E-2</v>
      </c>
      <c r="BE38">
        <v>-2.3782299999999999E-2</v>
      </c>
      <c r="BF38">
        <v>-0.4396214</v>
      </c>
    </row>
    <row r="39" spans="1:58">
      <c r="A39">
        <v>4590</v>
      </c>
      <c r="B39" t="s">
        <v>97</v>
      </c>
      <c r="C39" t="s">
        <v>98</v>
      </c>
      <c r="D39" t="s">
        <v>99</v>
      </c>
      <c r="G39" s="23">
        <v>43668</v>
      </c>
      <c r="H39">
        <v>3</v>
      </c>
      <c r="I39">
        <v>4195</v>
      </c>
      <c r="J39">
        <v>8</v>
      </c>
      <c r="K39">
        <v>8</v>
      </c>
      <c r="L39">
        <v>8</v>
      </c>
      <c r="M39">
        <v>5</v>
      </c>
      <c r="N39">
        <v>0.79400000000000004</v>
      </c>
      <c r="O39">
        <v>0.79400000000000004</v>
      </c>
      <c r="P39">
        <v>0.79400000000000004</v>
      </c>
      <c r="Q39">
        <v>0.5</v>
      </c>
      <c r="R39">
        <v>-123.2737961</v>
      </c>
      <c r="S39">
        <v>44.470222499999998</v>
      </c>
      <c r="T39">
        <v>7.25</v>
      </c>
      <c r="U39">
        <v>0.84588240000000003</v>
      </c>
      <c r="V39">
        <v>0</v>
      </c>
      <c r="W39">
        <v>478222.46875</v>
      </c>
      <c r="X39">
        <v>4924138</v>
      </c>
      <c r="Y39">
        <v>0</v>
      </c>
      <c r="AA39">
        <v>4</v>
      </c>
      <c r="AB39">
        <v>0</v>
      </c>
      <c r="AC39">
        <v>0.40200000000000002</v>
      </c>
      <c r="AD39">
        <v>0</v>
      </c>
      <c r="AE39">
        <v>5</v>
      </c>
      <c r="AF39">
        <v>0</v>
      </c>
      <c r="AG39">
        <v>0.5</v>
      </c>
      <c r="AH39">
        <v>0</v>
      </c>
      <c r="AI39">
        <v>31.052177400000001</v>
      </c>
      <c r="AJ39">
        <v>1E-4</v>
      </c>
      <c r="AK39">
        <v>0</v>
      </c>
      <c r="AL39">
        <v>0.34098909999999999</v>
      </c>
      <c r="AM39">
        <v>1</v>
      </c>
      <c r="AN39">
        <v>1</v>
      </c>
      <c r="AO39">
        <v>135</v>
      </c>
      <c r="AP39">
        <v>135</v>
      </c>
      <c r="AQ39">
        <v>4195</v>
      </c>
      <c r="AR39">
        <v>750</v>
      </c>
      <c r="AS39">
        <v>2025</v>
      </c>
      <c r="AT39" s="23">
        <v>45797</v>
      </c>
      <c r="AU39" s="23" t="s">
        <v>29</v>
      </c>
      <c r="AV39">
        <v>0</v>
      </c>
      <c r="AW39">
        <v>478222.46</v>
      </c>
      <c r="AX39">
        <v>4924138</v>
      </c>
      <c r="AY39">
        <v>1256.63706143591</v>
      </c>
      <c r="AZ39">
        <v>125663.706143591</v>
      </c>
      <c r="BA39">
        <v>0.30766890000000002</v>
      </c>
      <c r="BB39">
        <v>7.9580000000000004E-4</v>
      </c>
      <c r="BC39">
        <v>0</v>
      </c>
      <c r="BD39">
        <v>-3.3320200000000001E-2</v>
      </c>
      <c r="BE39">
        <v>-0.34019329999999998</v>
      </c>
      <c r="BF39">
        <v>-0.34098909999999999</v>
      </c>
    </row>
    <row r="40" spans="1:58">
      <c r="A40">
        <v>4591</v>
      </c>
      <c r="B40" t="s">
        <v>97</v>
      </c>
      <c r="C40" t="s">
        <v>98</v>
      </c>
      <c r="D40" t="s">
        <v>99</v>
      </c>
      <c r="G40" s="23">
        <v>43668</v>
      </c>
      <c r="H40">
        <v>3</v>
      </c>
      <c r="I40">
        <v>4196</v>
      </c>
      <c r="J40">
        <v>5</v>
      </c>
      <c r="K40">
        <v>6</v>
      </c>
      <c r="L40">
        <v>8</v>
      </c>
      <c r="M40">
        <v>7</v>
      </c>
      <c r="N40">
        <v>0.5</v>
      </c>
      <c r="O40">
        <v>0.59799999999999998</v>
      </c>
      <c r="P40">
        <v>0.79400000000000004</v>
      </c>
      <c r="Q40">
        <v>0.69599999999999995</v>
      </c>
      <c r="R40">
        <v>-123.2743988</v>
      </c>
      <c r="S40">
        <v>44.464385999999998</v>
      </c>
      <c r="T40">
        <v>6.5</v>
      </c>
      <c r="U40">
        <v>0.75941179999999997</v>
      </c>
      <c r="V40">
        <v>0</v>
      </c>
      <c r="W40">
        <v>478172.46875</v>
      </c>
      <c r="X40">
        <v>4923490</v>
      </c>
      <c r="Y40">
        <v>0</v>
      </c>
      <c r="AA40">
        <v>4</v>
      </c>
      <c r="AB40">
        <v>0</v>
      </c>
      <c r="AC40">
        <v>0.40200000000000002</v>
      </c>
      <c r="AD40">
        <v>0</v>
      </c>
      <c r="AE40">
        <v>3</v>
      </c>
      <c r="AF40">
        <v>0</v>
      </c>
      <c r="AG40">
        <v>0.30399999999999999</v>
      </c>
      <c r="AH40">
        <v>0</v>
      </c>
      <c r="AI40">
        <v>31.052177400000001</v>
      </c>
      <c r="AJ40">
        <v>1E-4</v>
      </c>
      <c r="AK40">
        <v>0</v>
      </c>
      <c r="AL40">
        <v>0.80891690000000005</v>
      </c>
      <c r="AM40">
        <v>1</v>
      </c>
      <c r="AN40">
        <v>1</v>
      </c>
      <c r="AO40">
        <v>136</v>
      </c>
      <c r="AP40">
        <v>136</v>
      </c>
      <c r="AQ40">
        <v>4196</v>
      </c>
      <c r="AR40">
        <v>751</v>
      </c>
      <c r="AS40">
        <v>2025</v>
      </c>
      <c r="AT40" s="23">
        <v>45797</v>
      </c>
      <c r="AU40" s="23" t="s">
        <v>29</v>
      </c>
      <c r="AV40">
        <v>0</v>
      </c>
      <c r="AW40">
        <v>478172.46</v>
      </c>
      <c r="AX40">
        <v>4923490</v>
      </c>
      <c r="AY40">
        <v>1256.63706143591</v>
      </c>
      <c r="AZ40">
        <v>125663.706143591</v>
      </c>
      <c r="BA40">
        <v>7.9580000000000004E-4</v>
      </c>
      <c r="BB40">
        <v>1.5915E-3</v>
      </c>
      <c r="BC40">
        <v>7.9270000000000002E-4</v>
      </c>
      <c r="BD40">
        <v>-0.80812110000000004</v>
      </c>
      <c r="BE40">
        <v>-0.80732539999999997</v>
      </c>
      <c r="BF40">
        <v>-0.80812419999999996</v>
      </c>
    </row>
    <row r="41" spans="1:58">
      <c r="A41">
        <v>4592</v>
      </c>
      <c r="B41" t="s">
        <v>97</v>
      </c>
      <c r="C41" t="s">
        <v>98</v>
      </c>
      <c r="D41" t="s">
        <v>99</v>
      </c>
      <c r="G41" s="23">
        <v>43668</v>
      </c>
      <c r="H41">
        <v>3</v>
      </c>
      <c r="I41">
        <v>4197</v>
      </c>
      <c r="J41">
        <v>6</v>
      </c>
      <c r="K41">
        <v>6</v>
      </c>
      <c r="L41">
        <v>8</v>
      </c>
      <c r="M41">
        <v>7</v>
      </c>
      <c r="N41">
        <v>0.59799999999999998</v>
      </c>
      <c r="O41">
        <v>0.59799999999999998</v>
      </c>
      <c r="P41">
        <v>0.79400000000000004</v>
      </c>
      <c r="Q41">
        <v>0.69599999999999995</v>
      </c>
      <c r="R41">
        <v>-123.2750015</v>
      </c>
      <c r="S41">
        <v>44.458549499999997</v>
      </c>
      <c r="T41">
        <v>6.75</v>
      </c>
      <c r="U41">
        <v>0.78823529999999997</v>
      </c>
      <c r="V41">
        <v>5.4460000000000001E-4</v>
      </c>
      <c r="W41">
        <v>478122.78125</v>
      </c>
      <c r="X41">
        <v>4922842</v>
      </c>
      <c r="Y41">
        <v>0</v>
      </c>
      <c r="AA41">
        <v>4</v>
      </c>
      <c r="AB41">
        <v>0</v>
      </c>
      <c r="AC41">
        <v>0.40200000000000002</v>
      </c>
      <c r="AD41">
        <v>0</v>
      </c>
      <c r="AE41">
        <v>4</v>
      </c>
      <c r="AF41">
        <v>0</v>
      </c>
      <c r="AG41">
        <v>0.40200000000000002</v>
      </c>
      <c r="AH41">
        <v>0</v>
      </c>
      <c r="AI41">
        <v>31.052177400000001</v>
      </c>
      <c r="AJ41">
        <v>0.27111859999999999</v>
      </c>
      <c r="AK41">
        <v>1</v>
      </c>
      <c r="AL41">
        <v>0.33212999999999998</v>
      </c>
      <c r="AM41">
        <v>1</v>
      </c>
      <c r="AN41">
        <v>1</v>
      </c>
      <c r="AO41">
        <v>133</v>
      </c>
      <c r="AP41">
        <v>133</v>
      </c>
      <c r="AQ41">
        <v>4197</v>
      </c>
      <c r="AR41">
        <v>748</v>
      </c>
      <c r="AS41">
        <v>2025</v>
      </c>
      <c r="AT41" s="23">
        <v>45797</v>
      </c>
      <c r="AU41" s="23" t="s">
        <v>29</v>
      </c>
      <c r="AV41">
        <v>0</v>
      </c>
      <c r="AW41">
        <v>478122.78</v>
      </c>
      <c r="AX41">
        <v>4922842</v>
      </c>
      <c r="AY41">
        <v>1256.63706143591</v>
      </c>
      <c r="AZ41">
        <v>125663.706143591</v>
      </c>
      <c r="BA41">
        <v>7.9580000000000004E-4</v>
      </c>
      <c r="BB41">
        <v>1.5915E-3</v>
      </c>
      <c r="BC41">
        <v>7.9580000000000004E-4</v>
      </c>
      <c r="BD41">
        <v>-0.33133420000000002</v>
      </c>
      <c r="BE41">
        <v>-0.33053850000000001</v>
      </c>
      <c r="BF41">
        <v>-0.33133420000000002</v>
      </c>
    </row>
    <row r="42" spans="1:58">
      <c r="A42">
        <v>4699</v>
      </c>
      <c r="B42" t="s">
        <v>118</v>
      </c>
      <c r="C42" t="s">
        <v>119</v>
      </c>
      <c r="G42" s="23">
        <v>43668</v>
      </c>
      <c r="H42">
        <v>3</v>
      </c>
      <c r="I42">
        <v>4273</v>
      </c>
      <c r="J42">
        <v>6</v>
      </c>
      <c r="K42">
        <v>8</v>
      </c>
      <c r="L42">
        <v>4</v>
      </c>
      <c r="M42">
        <v>6</v>
      </c>
      <c r="N42">
        <v>0.59799999999999998</v>
      </c>
      <c r="O42">
        <v>0.79400000000000004</v>
      </c>
      <c r="P42">
        <v>0.40200000000000002</v>
      </c>
      <c r="Q42">
        <v>0.59799999999999998</v>
      </c>
      <c r="R42">
        <v>-123.26505280000001</v>
      </c>
      <c r="S42">
        <v>44.475711799999999</v>
      </c>
      <c r="T42">
        <v>6</v>
      </c>
      <c r="U42">
        <v>0.70176470000000002</v>
      </c>
      <c r="V42">
        <v>0</v>
      </c>
      <c r="W42">
        <v>478920.21875</v>
      </c>
      <c r="X42">
        <v>4924745.5</v>
      </c>
      <c r="Y42">
        <v>0</v>
      </c>
      <c r="AA42">
        <v>4</v>
      </c>
      <c r="AB42">
        <v>0</v>
      </c>
      <c r="AC42">
        <v>0.40200000000000002</v>
      </c>
      <c r="AD42">
        <v>0</v>
      </c>
      <c r="AE42">
        <v>4</v>
      </c>
      <c r="AF42">
        <v>0</v>
      </c>
      <c r="AG42">
        <v>0.40200000000000002</v>
      </c>
      <c r="AH42">
        <v>0</v>
      </c>
      <c r="AI42">
        <v>31.052177400000001</v>
      </c>
      <c r="AJ42">
        <v>0.30423250000000002</v>
      </c>
      <c r="AK42">
        <v>1</v>
      </c>
      <c r="AL42">
        <v>0.34875080000000003</v>
      </c>
      <c r="AM42">
        <v>1</v>
      </c>
      <c r="AN42">
        <v>1</v>
      </c>
      <c r="AO42">
        <v>137</v>
      </c>
      <c r="AP42">
        <v>137</v>
      </c>
      <c r="AQ42">
        <v>4273</v>
      </c>
      <c r="AR42">
        <v>752</v>
      </c>
      <c r="AS42">
        <v>2025</v>
      </c>
      <c r="AT42" s="23">
        <v>45797</v>
      </c>
      <c r="AU42" s="23" t="s">
        <v>29</v>
      </c>
      <c r="AV42">
        <v>0</v>
      </c>
      <c r="AW42">
        <v>478920.21</v>
      </c>
      <c r="AX42">
        <v>4924745.5</v>
      </c>
      <c r="AY42">
        <v>1256.63706143591</v>
      </c>
      <c r="AZ42">
        <v>125663.706143591</v>
      </c>
      <c r="BA42">
        <v>9.4222999999999998E-3</v>
      </c>
      <c r="BB42">
        <v>1.5915E-3</v>
      </c>
      <c r="BC42">
        <v>2.3873000000000002E-3</v>
      </c>
      <c r="BD42">
        <v>-0.33932859999999998</v>
      </c>
      <c r="BE42">
        <v>-0.3471593</v>
      </c>
      <c r="BF42">
        <v>-0.34636349999999999</v>
      </c>
    </row>
    <row r="43" spans="1:58">
      <c r="A43">
        <v>4776</v>
      </c>
      <c r="B43" t="s">
        <v>120</v>
      </c>
      <c r="C43" t="s">
        <v>98</v>
      </c>
      <c r="G43" s="23">
        <v>43668</v>
      </c>
      <c r="H43">
        <v>3</v>
      </c>
      <c r="I43">
        <v>4329</v>
      </c>
      <c r="J43">
        <v>0</v>
      </c>
      <c r="K43">
        <v>0</v>
      </c>
      <c r="L43">
        <v>0</v>
      </c>
      <c r="M43">
        <v>0</v>
      </c>
      <c r="N43">
        <v>0.01</v>
      </c>
      <c r="O43">
        <v>0.01</v>
      </c>
      <c r="P43">
        <v>0.01</v>
      </c>
      <c r="Q43">
        <v>0.01</v>
      </c>
      <c r="R43">
        <v>-123.36823269999999</v>
      </c>
      <c r="S43">
        <v>44.835708599999997</v>
      </c>
      <c r="T43">
        <v>0</v>
      </c>
      <c r="U43">
        <v>0.01</v>
      </c>
      <c r="V43">
        <v>0</v>
      </c>
      <c r="W43">
        <v>470894.90625</v>
      </c>
      <c r="X43">
        <v>4964766</v>
      </c>
      <c r="Y43">
        <v>0</v>
      </c>
      <c r="AA43">
        <v>4</v>
      </c>
      <c r="AB43">
        <v>0</v>
      </c>
      <c r="AC43">
        <v>0.40200000000000002</v>
      </c>
      <c r="AD43">
        <v>0</v>
      </c>
      <c r="AE43">
        <v>7</v>
      </c>
      <c r="AF43">
        <v>0.18873139999999999</v>
      </c>
      <c r="AG43">
        <v>0.69599999999999995</v>
      </c>
      <c r="AH43">
        <v>0</v>
      </c>
      <c r="AI43">
        <v>31.052177400000001</v>
      </c>
      <c r="AJ43">
        <v>0.14624570000000001</v>
      </c>
      <c r="AK43">
        <v>1</v>
      </c>
      <c r="AL43">
        <v>0.31141069999999998</v>
      </c>
      <c r="AM43">
        <v>1</v>
      </c>
      <c r="AN43">
        <v>1</v>
      </c>
      <c r="AO43">
        <v>3</v>
      </c>
      <c r="AP43">
        <v>3</v>
      </c>
      <c r="AQ43">
        <v>4329</v>
      </c>
      <c r="AR43">
        <v>708</v>
      </c>
      <c r="AS43">
        <v>2025</v>
      </c>
      <c r="AT43" s="23">
        <v>45797</v>
      </c>
      <c r="AU43" s="23" t="s">
        <v>29</v>
      </c>
      <c r="AV43">
        <v>0</v>
      </c>
      <c r="AW43">
        <v>470894.9</v>
      </c>
      <c r="AX43">
        <v>4964766</v>
      </c>
      <c r="AY43">
        <v>1256.63706143591</v>
      </c>
      <c r="AZ43">
        <v>125663.706143591</v>
      </c>
      <c r="BA43">
        <v>0.30483870000000002</v>
      </c>
      <c r="BB43">
        <v>0.30165570000000003</v>
      </c>
      <c r="BC43">
        <v>0.32383689999999998</v>
      </c>
      <c r="BD43">
        <v>-6.5719999999999997E-3</v>
      </c>
      <c r="BE43">
        <v>-9.7550999999999992E-3</v>
      </c>
      <c r="BF43">
        <v>1.2426100000000001E-2</v>
      </c>
    </row>
    <row r="44" spans="1:58">
      <c r="A44">
        <v>4777</v>
      </c>
      <c r="B44" t="s">
        <v>120</v>
      </c>
      <c r="C44" t="s">
        <v>98</v>
      </c>
      <c r="G44" s="23">
        <v>43668</v>
      </c>
      <c r="H44">
        <v>3</v>
      </c>
      <c r="I44">
        <v>4330</v>
      </c>
      <c r="J44">
        <v>0</v>
      </c>
      <c r="K44">
        <v>0</v>
      </c>
      <c r="L44">
        <v>0</v>
      </c>
      <c r="M44">
        <v>0</v>
      </c>
      <c r="N44">
        <v>0.01</v>
      </c>
      <c r="O44">
        <v>0.01</v>
      </c>
      <c r="P44">
        <v>0.01</v>
      </c>
      <c r="Q44">
        <v>0.01</v>
      </c>
      <c r="R44">
        <v>-123.3738556</v>
      </c>
      <c r="S44">
        <v>44.831440000000001</v>
      </c>
      <c r="T44">
        <v>0</v>
      </c>
      <c r="U44">
        <v>0.01</v>
      </c>
      <c r="V44">
        <v>0</v>
      </c>
      <c r="W44">
        <v>470448.28125</v>
      </c>
      <c r="X44">
        <v>4964294</v>
      </c>
      <c r="Y44">
        <v>0</v>
      </c>
      <c r="AA44">
        <v>6</v>
      </c>
      <c r="AB44">
        <v>8.6508000000000002E-3</v>
      </c>
      <c r="AC44">
        <v>0.59799999999999998</v>
      </c>
      <c r="AD44">
        <v>0</v>
      </c>
      <c r="AE44">
        <v>6</v>
      </c>
      <c r="AF44">
        <v>5.7222000000000002E-3</v>
      </c>
      <c r="AG44">
        <v>0.59799999999999998</v>
      </c>
      <c r="AH44">
        <v>0</v>
      </c>
      <c r="AI44">
        <v>31.052177400000001</v>
      </c>
      <c r="AJ44">
        <v>1E-4</v>
      </c>
      <c r="AK44">
        <v>0</v>
      </c>
      <c r="AL44">
        <v>0.30843379999999998</v>
      </c>
      <c r="AM44">
        <v>1</v>
      </c>
      <c r="AN44">
        <v>1</v>
      </c>
      <c r="AO44">
        <v>4</v>
      </c>
      <c r="AP44">
        <v>4</v>
      </c>
      <c r="AQ44">
        <v>4330</v>
      </c>
      <c r="AR44">
        <v>709</v>
      </c>
      <c r="AS44">
        <v>2025</v>
      </c>
      <c r="AT44" s="23">
        <v>45797</v>
      </c>
      <c r="AU44" s="23" t="s">
        <v>29</v>
      </c>
      <c r="AV44">
        <v>0</v>
      </c>
      <c r="AW44">
        <v>470448.28</v>
      </c>
      <c r="AX44">
        <v>4964294</v>
      </c>
      <c r="AY44">
        <v>1256.63706143591</v>
      </c>
      <c r="AZ44">
        <v>125663.706143591</v>
      </c>
      <c r="BA44">
        <v>0.30953530000000001</v>
      </c>
      <c r="BB44">
        <v>0.33073259999999999</v>
      </c>
      <c r="BC44">
        <v>0.37562570000000001</v>
      </c>
      <c r="BD44">
        <v>1.1015E-3</v>
      </c>
      <c r="BE44">
        <v>2.2298800000000001E-2</v>
      </c>
      <c r="BF44">
        <v>6.7192000000000002E-2</v>
      </c>
    </row>
    <row r="45" spans="1:58">
      <c r="A45">
        <v>4985</v>
      </c>
      <c r="B45" t="s">
        <v>118</v>
      </c>
      <c r="C45" t="s">
        <v>119</v>
      </c>
      <c r="G45" s="23">
        <v>43668</v>
      </c>
      <c r="H45">
        <v>3</v>
      </c>
      <c r="I45">
        <v>4492</v>
      </c>
      <c r="J45">
        <v>7</v>
      </c>
      <c r="K45">
        <v>5</v>
      </c>
      <c r="L45">
        <v>5</v>
      </c>
      <c r="M45">
        <v>8</v>
      </c>
      <c r="N45">
        <v>0.69599999999999995</v>
      </c>
      <c r="O45">
        <v>0.5</v>
      </c>
      <c r="P45">
        <v>0.5</v>
      </c>
      <c r="Q45">
        <v>0.79400000000000004</v>
      </c>
      <c r="R45">
        <v>-123.26013949999999</v>
      </c>
      <c r="S45">
        <v>44.447532699999996</v>
      </c>
      <c r="T45">
        <v>6.25</v>
      </c>
      <c r="U45">
        <v>0.73058829999999997</v>
      </c>
      <c r="V45">
        <v>0.14613390000000001</v>
      </c>
      <c r="W45">
        <v>479301.03125</v>
      </c>
      <c r="X45">
        <v>4921614</v>
      </c>
      <c r="Y45">
        <v>1</v>
      </c>
      <c r="Z45">
        <v>0</v>
      </c>
      <c r="AA45">
        <v>3</v>
      </c>
      <c r="AB45">
        <v>0</v>
      </c>
      <c r="AC45">
        <v>0.30399999999999999</v>
      </c>
      <c r="AD45">
        <v>0</v>
      </c>
      <c r="AE45">
        <v>7</v>
      </c>
      <c r="AF45">
        <v>0.13397290000000001</v>
      </c>
      <c r="AG45">
        <v>0.69599999999999995</v>
      </c>
      <c r="AH45">
        <v>0</v>
      </c>
      <c r="AI45">
        <v>31.052177400000001</v>
      </c>
      <c r="AJ45">
        <v>0.2423824</v>
      </c>
      <c r="AK45">
        <v>1</v>
      </c>
      <c r="AL45">
        <v>0.3249319</v>
      </c>
      <c r="AM45">
        <v>1</v>
      </c>
      <c r="AN45">
        <v>1</v>
      </c>
      <c r="AO45">
        <v>131</v>
      </c>
      <c r="AP45">
        <v>131</v>
      </c>
      <c r="AQ45">
        <v>4492</v>
      </c>
      <c r="AR45">
        <v>746</v>
      </c>
      <c r="AS45">
        <v>2025</v>
      </c>
      <c r="AT45" s="23">
        <v>45797</v>
      </c>
      <c r="AU45" s="23" t="s">
        <v>29</v>
      </c>
      <c r="AV45">
        <v>0</v>
      </c>
      <c r="AW45">
        <v>479301.03</v>
      </c>
      <c r="AX45">
        <v>4921614</v>
      </c>
      <c r="AY45">
        <v>1256.63706143591</v>
      </c>
      <c r="AZ45">
        <v>125663.706143591</v>
      </c>
      <c r="BA45">
        <v>0.43845299999999998</v>
      </c>
      <c r="BB45">
        <v>0.44600529999999999</v>
      </c>
      <c r="BC45">
        <v>0.45396110000000001</v>
      </c>
      <c r="BD45">
        <v>0.1135211</v>
      </c>
      <c r="BE45">
        <v>0.1210734</v>
      </c>
      <c r="BF45">
        <v>0.12902920000000001</v>
      </c>
    </row>
    <row r="46" spans="1:58">
      <c r="A46">
        <v>4986</v>
      </c>
      <c r="B46" t="s">
        <v>118</v>
      </c>
      <c r="C46" t="s">
        <v>119</v>
      </c>
      <c r="G46" s="23">
        <v>43668</v>
      </c>
      <c r="H46">
        <v>3</v>
      </c>
      <c r="I46">
        <v>4493</v>
      </c>
      <c r="J46">
        <v>7</v>
      </c>
      <c r="K46">
        <v>7</v>
      </c>
      <c r="L46">
        <v>6</v>
      </c>
      <c r="M46">
        <v>8</v>
      </c>
      <c r="N46">
        <v>0.69599999999999995</v>
      </c>
      <c r="O46">
        <v>0.69599999999999995</v>
      </c>
      <c r="P46">
        <v>0.59799999999999998</v>
      </c>
      <c r="Q46">
        <v>0.79400000000000004</v>
      </c>
      <c r="R46">
        <v>-123.2683105</v>
      </c>
      <c r="S46">
        <v>44.4475555</v>
      </c>
      <c r="T46">
        <v>7</v>
      </c>
      <c r="U46">
        <v>0.81705879999999997</v>
      </c>
      <c r="V46">
        <v>0.27362619999999999</v>
      </c>
      <c r="W46">
        <v>478651.03125</v>
      </c>
      <c r="X46">
        <v>4921619</v>
      </c>
      <c r="Y46">
        <v>0</v>
      </c>
      <c r="AA46">
        <v>8</v>
      </c>
      <c r="AB46">
        <v>1.8728100000000001E-2</v>
      </c>
      <c r="AC46">
        <v>0.79400000000000004</v>
      </c>
      <c r="AD46">
        <v>0</v>
      </c>
      <c r="AE46">
        <v>8</v>
      </c>
      <c r="AF46">
        <v>0.39356439999999998</v>
      </c>
      <c r="AG46">
        <v>0.79400000000000004</v>
      </c>
      <c r="AH46">
        <v>1</v>
      </c>
      <c r="AI46">
        <v>31.052177400000001</v>
      </c>
      <c r="AJ46">
        <v>0.30975249999999999</v>
      </c>
      <c r="AK46">
        <v>1</v>
      </c>
      <c r="AL46">
        <v>0.58926889999999998</v>
      </c>
      <c r="AM46">
        <v>1</v>
      </c>
      <c r="AN46">
        <v>1</v>
      </c>
      <c r="AO46">
        <v>134</v>
      </c>
      <c r="AP46">
        <v>134</v>
      </c>
      <c r="AQ46">
        <v>4493</v>
      </c>
      <c r="AR46">
        <v>749</v>
      </c>
      <c r="AS46">
        <v>2025</v>
      </c>
      <c r="AT46" s="23">
        <v>45797</v>
      </c>
      <c r="AU46" s="23" t="s">
        <v>29</v>
      </c>
      <c r="AV46">
        <v>0</v>
      </c>
      <c r="AW46">
        <v>478651.03</v>
      </c>
      <c r="AX46">
        <v>4921619</v>
      </c>
      <c r="AY46">
        <v>1256.63706143591</v>
      </c>
      <c r="AZ46">
        <v>125663.706143591</v>
      </c>
      <c r="BA46">
        <v>0.62236239999999998</v>
      </c>
      <c r="BB46">
        <v>0.62919190000000003</v>
      </c>
      <c r="BC46">
        <v>0.64426609999999995</v>
      </c>
      <c r="BD46">
        <v>3.3093499999999998E-2</v>
      </c>
      <c r="BE46">
        <v>3.9923E-2</v>
      </c>
      <c r="BF46">
        <v>5.49971E-2</v>
      </c>
    </row>
    <row r="47" spans="1:58">
      <c r="A47">
        <v>5409</v>
      </c>
      <c r="B47" t="s">
        <v>121</v>
      </c>
      <c r="C47" t="s">
        <v>86</v>
      </c>
      <c r="G47" s="23">
        <v>43668</v>
      </c>
      <c r="H47">
        <v>3</v>
      </c>
      <c r="I47">
        <v>4816</v>
      </c>
      <c r="J47">
        <v>0</v>
      </c>
      <c r="K47">
        <v>0</v>
      </c>
      <c r="L47">
        <v>0</v>
      </c>
      <c r="M47">
        <v>0</v>
      </c>
      <c r="N47">
        <v>0.01</v>
      </c>
      <c r="O47">
        <v>0.01</v>
      </c>
      <c r="P47">
        <v>0.01</v>
      </c>
      <c r="Q47">
        <v>0.01</v>
      </c>
      <c r="R47">
        <v>-123.29419710000001</v>
      </c>
      <c r="S47">
        <v>44.768360100000002</v>
      </c>
      <c r="T47">
        <v>0</v>
      </c>
      <c r="U47">
        <v>0.01</v>
      </c>
      <c r="V47">
        <v>0</v>
      </c>
      <c r="W47">
        <v>476719.3125</v>
      </c>
      <c r="X47">
        <v>4957260.5</v>
      </c>
      <c r="Y47">
        <v>0</v>
      </c>
      <c r="AA47">
        <v>8</v>
      </c>
      <c r="AB47">
        <v>0.7778678</v>
      </c>
      <c r="AC47">
        <v>0.79400000000000004</v>
      </c>
      <c r="AD47">
        <v>0</v>
      </c>
      <c r="AE47">
        <v>8</v>
      </c>
      <c r="AF47">
        <v>0.97460539999999996</v>
      </c>
      <c r="AG47">
        <v>0.79400000000000004</v>
      </c>
      <c r="AH47">
        <v>0</v>
      </c>
      <c r="AI47">
        <v>31.052177400000001</v>
      </c>
      <c r="AJ47">
        <v>0.29621330000000001</v>
      </c>
      <c r="AK47">
        <v>1</v>
      </c>
      <c r="AL47">
        <v>0.33802880000000002</v>
      </c>
      <c r="AM47">
        <v>1</v>
      </c>
      <c r="AN47">
        <v>1</v>
      </c>
      <c r="AO47">
        <v>2</v>
      </c>
      <c r="AP47">
        <v>2</v>
      </c>
      <c r="AQ47">
        <v>4816</v>
      </c>
      <c r="AR47">
        <v>707</v>
      </c>
      <c r="AS47">
        <v>2025</v>
      </c>
      <c r="AT47" s="23">
        <v>45797</v>
      </c>
      <c r="AU47" s="23" t="s">
        <v>29</v>
      </c>
      <c r="AV47">
        <v>0</v>
      </c>
      <c r="AW47">
        <v>476719.30999999901</v>
      </c>
      <c r="AX47">
        <v>4957260.5</v>
      </c>
      <c r="AY47">
        <v>1256.63706143591</v>
      </c>
      <c r="AZ47">
        <v>125663.706143591</v>
      </c>
      <c r="BA47">
        <v>2.3873000000000002E-3</v>
      </c>
      <c r="BB47">
        <v>0.45905049999999997</v>
      </c>
      <c r="BC47">
        <v>0.48292930000000001</v>
      </c>
      <c r="BD47">
        <v>-0.33564139999999998</v>
      </c>
      <c r="BE47">
        <v>0.1210217</v>
      </c>
      <c r="BF47">
        <v>0.14490059999999999</v>
      </c>
    </row>
    <row r="48" spans="1:58">
      <c r="A48">
        <v>5552</v>
      </c>
      <c r="B48" t="s">
        <v>111</v>
      </c>
      <c r="C48" t="s">
        <v>86</v>
      </c>
      <c r="G48" s="23">
        <v>43668</v>
      </c>
      <c r="H48">
        <v>2</v>
      </c>
      <c r="I48">
        <v>4942</v>
      </c>
      <c r="J48">
        <v>8</v>
      </c>
      <c r="K48">
        <v>8</v>
      </c>
      <c r="L48">
        <v>8</v>
      </c>
      <c r="M48">
        <v>8</v>
      </c>
      <c r="N48">
        <v>0.79400000000000004</v>
      </c>
      <c r="O48">
        <v>0.79400000000000004</v>
      </c>
      <c r="P48">
        <v>0.79400000000000004</v>
      </c>
      <c r="Q48">
        <v>0.79400000000000004</v>
      </c>
      <c r="R48">
        <v>-122.88999939999999</v>
      </c>
      <c r="S48">
        <v>44.587722800000002</v>
      </c>
      <c r="T48">
        <v>8</v>
      </c>
      <c r="U48">
        <v>0.93235299999999999</v>
      </c>
      <c r="V48">
        <v>4.5563699999999999E-2</v>
      </c>
      <c r="W48">
        <v>508731.5625</v>
      </c>
      <c r="X48">
        <v>4937159</v>
      </c>
      <c r="Y48">
        <v>0</v>
      </c>
      <c r="AA48">
        <v>4</v>
      </c>
      <c r="AB48">
        <v>0</v>
      </c>
      <c r="AC48">
        <v>0.40200000000000002</v>
      </c>
      <c r="AD48">
        <v>0</v>
      </c>
      <c r="AE48">
        <v>4</v>
      </c>
      <c r="AF48">
        <v>0</v>
      </c>
      <c r="AG48">
        <v>0.40200000000000002</v>
      </c>
      <c r="AH48">
        <v>0</v>
      </c>
      <c r="AI48">
        <v>31.052177400000001</v>
      </c>
      <c r="AJ48">
        <v>8.4071699999999999E-2</v>
      </c>
      <c r="AK48">
        <v>1</v>
      </c>
      <c r="AL48">
        <v>0.28335900000000003</v>
      </c>
      <c r="AM48">
        <v>1</v>
      </c>
      <c r="AN48">
        <v>1</v>
      </c>
      <c r="AO48">
        <v>9</v>
      </c>
      <c r="AP48">
        <v>9</v>
      </c>
      <c r="AQ48">
        <v>4942</v>
      </c>
      <c r="AR48">
        <v>714</v>
      </c>
      <c r="AS48">
        <v>2025</v>
      </c>
      <c r="AT48" s="23">
        <v>45797</v>
      </c>
      <c r="AU48" s="23" t="s">
        <v>29</v>
      </c>
      <c r="AV48">
        <v>0</v>
      </c>
      <c r="AW48">
        <v>508731.55999999901</v>
      </c>
      <c r="AX48">
        <v>4937159</v>
      </c>
      <c r="AY48">
        <v>1256.63706143591</v>
      </c>
      <c r="AZ48">
        <v>125663.706143591</v>
      </c>
      <c r="BA48">
        <v>0.3511148</v>
      </c>
      <c r="BB48">
        <v>0.36247479999999999</v>
      </c>
      <c r="BC48">
        <v>7.9580000000000004E-4</v>
      </c>
      <c r="BD48">
        <v>6.7755800000000005E-2</v>
      </c>
      <c r="BE48">
        <v>7.91158E-2</v>
      </c>
      <c r="BF48">
        <v>-0.28256320000000001</v>
      </c>
    </row>
    <row r="49" spans="1:58">
      <c r="A49">
        <v>5774</v>
      </c>
      <c r="B49" t="s">
        <v>122</v>
      </c>
      <c r="C49" t="s">
        <v>86</v>
      </c>
      <c r="G49" s="23">
        <v>43668</v>
      </c>
      <c r="H49">
        <v>2</v>
      </c>
      <c r="I49">
        <v>5111</v>
      </c>
      <c r="J49">
        <v>5</v>
      </c>
      <c r="K49">
        <v>5</v>
      </c>
      <c r="L49">
        <v>4</v>
      </c>
      <c r="M49">
        <v>7</v>
      </c>
      <c r="N49">
        <v>0.5</v>
      </c>
      <c r="O49">
        <v>0.5</v>
      </c>
      <c r="P49">
        <v>0.40200000000000002</v>
      </c>
      <c r="Q49">
        <v>0.69599999999999995</v>
      </c>
      <c r="R49">
        <v>-122.9522171</v>
      </c>
      <c r="S49">
        <v>44.644916500000001</v>
      </c>
      <c r="T49">
        <v>5.25</v>
      </c>
      <c r="U49">
        <v>0.61529409999999995</v>
      </c>
      <c r="V49">
        <v>0</v>
      </c>
      <c r="W49">
        <v>503789.28125</v>
      </c>
      <c r="X49">
        <v>4943507.5</v>
      </c>
      <c r="Y49">
        <v>0</v>
      </c>
      <c r="AA49">
        <v>3</v>
      </c>
      <c r="AB49">
        <v>0</v>
      </c>
      <c r="AC49">
        <v>0.30399999999999999</v>
      </c>
      <c r="AD49">
        <v>0</v>
      </c>
      <c r="AE49">
        <v>3</v>
      </c>
      <c r="AF49">
        <v>0</v>
      </c>
      <c r="AG49">
        <v>0.30399999999999999</v>
      </c>
      <c r="AH49">
        <v>0</v>
      </c>
      <c r="AI49">
        <v>31.052177400000001</v>
      </c>
      <c r="AJ49">
        <v>1E-4</v>
      </c>
      <c r="AK49">
        <v>0</v>
      </c>
      <c r="AL49">
        <v>0.29068660000000002</v>
      </c>
      <c r="AM49">
        <v>1</v>
      </c>
      <c r="AN49">
        <v>1</v>
      </c>
      <c r="AO49">
        <v>7</v>
      </c>
      <c r="AP49">
        <v>7</v>
      </c>
      <c r="AQ49">
        <v>5111</v>
      </c>
      <c r="AR49">
        <v>712</v>
      </c>
      <c r="AS49">
        <v>2025</v>
      </c>
      <c r="AT49" s="23">
        <v>45797</v>
      </c>
      <c r="AU49" s="23" t="s">
        <v>29</v>
      </c>
      <c r="AV49">
        <v>0</v>
      </c>
      <c r="AW49">
        <v>503789.28</v>
      </c>
      <c r="AX49">
        <v>4943507.5</v>
      </c>
      <c r="AY49">
        <v>1256.63706143591</v>
      </c>
      <c r="AZ49">
        <v>125663.706143591</v>
      </c>
      <c r="BA49">
        <v>0</v>
      </c>
      <c r="BB49">
        <v>5.7390000000000002E-4</v>
      </c>
      <c r="BC49">
        <v>0</v>
      </c>
      <c r="BD49">
        <v>-0.29068660000000002</v>
      </c>
      <c r="BE49">
        <v>-0.2901127</v>
      </c>
      <c r="BF49">
        <v>-0.29068660000000002</v>
      </c>
    </row>
    <row r="50" spans="1:58">
      <c r="A50">
        <v>6221</v>
      </c>
      <c r="B50" t="s">
        <v>97</v>
      </c>
      <c r="C50" t="s">
        <v>98</v>
      </c>
      <c r="D50" t="s">
        <v>99</v>
      </c>
      <c r="G50" s="23">
        <v>43668</v>
      </c>
      <c r="H50">
        <v>3</v>
      </c>
      <c r="I50">
        <v>5391</v>
      </c>
      <c r="J50">
        <v>6</v>
      </c>
      <c r="K50">
        <v>7</v>
      </c>
      <c r="L50">
        <v>5</v>
      </c>
      <c r="M50">
        <v>10</v>
      </c>
      <c r="N50">
        <v>0.59799999999999998</v>
      </c>
      <c r="O50">
        <v>0.69599999999999995</v>
      </c>
      <c r="P50">
        <v>0.5</v>
      </c>
      <c r="Q50">
        <v>0.99</v>
      </c>
      <c r="R50">
        <v>-123.22310640000001</v>
      </c>
      <c r="S50">
        <v>44.738239299999996</v>
      </c>
      <c r="T50">
        <v>7</v>
      </c>
      <c r="U50">
        <v>0.81705879999999997</v>
      </c>
      <c r="V50">
        <v>2.2035900000000001E-2</v>
      </c>
      <c r="W50">
        <v>482335.6875</v>
      </c>
      <c r="X50">
        <v>4953897</v>
      </c>
      <c r="Y50">
        <v>0</v>
      </c>
      <c r="AA50">
        <v>7</v>
      </c>
      <c r="AB50">
        <v>5.0993700000000003E-2</v>
      </c>
      <c r="AC50">
        <v>0.69599999999999995</v>
      </c>
      <c r="AD50">
        <v>0</v>
      </c>
      <c r="AE50">
        <v>8</v>
      </c>
      <c r="AF50">
        <v>8.5889599999999997E-2</v>
      </c>
      <c r="AG50">
        <v>0.79400000000000004</v>
      </c>
      <c r="AH50">
        <v>1</v>
      </c>
      <c r="AI50">
        <v>31.052177400000001</v>
      </c>
      <c r="AJ50">
        <v>0.40271400000000002</v>
      </c>
      <c r="AK50">
        <v>1</v>
      </c>
      <c r="AL50">
        <v>0.58151540000000002</v>
      </c>
      <c r="AM50">
        <v>1</v>
      </c>
      <c r="AN50">
        <v>1</v>
      </c>
      <c r="AO50">
        <v>6</v>
      </c>
      <c r="AP50">
        <v>6</v>
      </c>
      <c r="AQ50">
        <v>5391</v>
      </c>
      <c r="AR50">
        <v>711</v>
      </c>
      <c r="AS50">
        <v>2025</v>
      </c>
      <c r="AT50" s="23">
        <v>45797</v>
      </c>
      <c r="AU50" s="23" t="s">
        <v>29</v>
      </c>
      <c r="AV50">
        <v>0</v>
      </c>
      <c r="AW50">
        <v>482335.679999999</v>
      </c>
      <c r="AX50">
        <v>4953897</v>
      </c>
      <c r="AY50">
        <v>1256.63706143591</v>
      </c>
      <c r="AZ50">
        <v>125663.706143591</v>
      </c>
      <c r="BA50">
        <v>7.0120000000000002E-4</v>
      </c>
      <c r="BB50">
        <v>7.9580000000000004E-4</v>
      </c>
      <c r="BC50">
        <v>0.18460760000000001</v>
      </c>
      <c r="BD50">
        <v>-0.5808141</v>
      </c>
      <c r="BE50">
        <v>-0.5807196</v>
      </c>
      <c r="BF50">
        <v>-0.39690779999999998</v>
      </c>
    </row>
    <row r="51" spans="1:58">
      <c r="A51">
        <v>25</v>
      </c>
      <c r="B51" t="s">
        <v>123</v>
      </c>
      <c r="C51" t="s">
        <v>124</v>
      </c>
      <c r="D51" t="s">
        <v>83</v>
      </c>
      <c r="F51" t="s">
        <v>84</v>
      </c>
      <c r="H51">
        <v>3</v>
      </c>
      <c r="I51">
        <v>9</v>
      </c>
      <c r="J51">
        <v>6</v>
      </c>
      <c r="K51">
        <v>6</v>
      </c>
      <c r="L51">
        <v>8</v>
      </c>
      <c r="M51">
        <v>8</v>
      </c>
      <c r="N51">
        <v>0.59799999999999998</v>
      </c>
      <c r="O51">
        <v>0.59799999999999998</v>
      </c>
      <c r="P51">
        <v>0.79400000000000004</v>
      </c>
      <c r="Q51">
        <v>0.79400000000000004</v>
      </c>
      <c r="R51">
        <v>-123.2761459</v>
      </c>
      <c r="S51">
        <v>45.1181755</v>
      </c>
      <c r="T51">
        <v>7</v>
      </c>
      <c r="U51">
        <v>0.81705879999999997</v>
      </c>
      <c r="V51">
        <v>0.26575910000000003</v>
      </c>
      <c r="W51">
        <v>478280.125</v>
      </c>
      <c r="X51">
        <v>4996115.5</v>
      </c>
      <c r="Y51">
        <v>0</v>
      </c>
      <c r="AA51">
        <v>8</v>
      </c>
      <c r="AB51">
        <v>0.22813559999999999</v>
      </c>
      <c r="AC51">
        <v>0.79400000000000004</v>
      </c>
      <c r="AD51">
        <v>0</v>
      </c>
      <c r="AE51">
        <v>8</v>
      </c>
      <c r="AF51">
        <v>0.58091590000000004</v>
      </c>
      <c r="AG51">
        <v>0.79400000000000004</v>
      </c>
      <c r="AH51">
        <v>0</v>
      </c>
      <c r="AI51">
        <v>31.052177400000001</v>
      </c>
      <c r="AJ51">
        <v>0.22414829999999999</v>
      </c>
      <c r="AK51">
        <v>1</v>
      </c>
      <c r="AL51">
        <v>0.42058610000000002</v>
      </c>
      <c r="AM51">
        <v>1</v>
      </c>
      <c r="AN51">
        <v>1</v>
      </c>
      <c r="AO51">
        <v>41</v>
      </c>
      <c r="AP51">
        <v>41</v>
      </c>
      <c r="AQ51">
        <v>9</v>
      </c>
      <c r="AR51">
        <v>762</v>
      </c>
      <c r="AS51">
        <v>2025</v>
      </c>
      <c r="AT51" s="23">
        <v>45798</v>
      </c>
      <c r="AU51" s="23" t="s">
        <v>29</v>
      </c>
      <c r="AV51">
        <v>1</v>
      </c>
      <c r="AW51">
        <v>478280.11999999901</v>
      </c>
      <c r="AX51">
        <v>4996115.5</v>
      </c>
      <c r="AY51">
        <v>1256.63706143591</v>
      </c>
      <c r="AZ51">
        <v>125663.706143591</v>
      </c>
      <c r="BA51">
        <v>0.38064769999999998</v>
      </c>
      <c r="BB51">
        <v>0.36711949999999999</v>
      </c>
      <c r="BC51">
        <v>0.3838377</v>
      </c>
      <c r="BD51">
        <v>-3.9938399999999999E-2</v>
      </c>
      <c r="BE51">
        <v>-5.3466600000000003E-2</v>
      </c>
      <c r="BF51">
        <v>-3.6748400000000001E-2</v>
      </c>
    </row>
    <row r="52" spans="1:58">
      <c r="A52">
        <v>1049</v>
      </c>
      <c r="B52" t="s">
        <v>125</v>
      </c>
      <c r="C52" t="s">
        <v>86</v>
      </c>
      <c r="G52" s="23">
        <v>43668</v>
      </c>
      <c r="H52">
        <v>3</v>
      </c>
      <c r="I52">
        <v>1397</v>
      </c>
      <c r="J52">
        <v>8</v>
      </c>
      <c r="K52">
        <v>8</v>
      </c>
      <c r="L52">
        <v>8</v>
      </c>
      <c r="M52">
        <v>8</v>
      </c>
      <c r="N52">
        <v>0.79400000000000004</v>
      </c>
      <c r="O52">
        <v>0.79400000000000004</v>
      </c>
      <c r="P52">
        <v>0.79400000000000004</v>
      </c>
      <c r="Q52">
        <v>0.79400000000000004</v>
      </c>
      <c r="R52">
        <v>-123.3132782</v>
      </c>
      <c r="S52">
        <v>45.043292999999998</v>
      </c>
      <c r="T52">
        <v>8</v>
      </c>
      <c r="U52">
        <v>0.93235299999999999</v>
      </c>
      <c r="V52">
        <v>0.47109610000000002</v>
      </c>
      <c r="W52">
        <v>475327.5</v>
      </c>
      <c r="X52">
        <v>4987807.5</v>
      </c>
      <c r="Y52">
        <v>0</v>
      </c>
      <c r="AA52">
        <v>5</v>
      </c>
      <c r="AB52">
        <v>5.5029999999999999E-4</v>
      </c>
      <c r="AC52">
        <v>0.5</v>
      </c>
      <c r="AD52">
        <v>0</v>
      </c>
      <c r="AE52">
        <v>8</v>
      </c>
      <c r="AF52">
        <v>0.35538029999999998</v>
      </c>
      <c r="AG52">
        <v>0.79400000000000004</v>
      </c>
      <c r="AH52">
        <v>0</v>
      </c>
      <c r="AI52">
        <v>31.052177400000001</v>
      </c>
      <c r="AJ52">
        <v>1E-4</v>
      </c>
      <c r="AK52">
        <v>0</v>
      </c>
      <c r="AL52">
        <v>0.28269860000000002</v>
      </c>
      <c r="AM52">
        <v>1</v>
      </c>
      <c r="AN52">
        <v>1</v>
      </c>
      <c r="AO52">
        <v>39</v>
      </c>
      <c r="AP52">
        <v>39</v>
      </c>
      <c r="AQ52">
        <v>1397</v>
      </c>
      <c r="AR52">
        <v>760</v>
      </c>
      <c r="AS52">
        <v>2025</v>
      </c>
      <c r="AT52" s="23">
        <v>45798</v>
      </c>
      <c r="AU52" s="23" t="s">
        <v>29</v>
      </c>
      <c r="AV52">
        <v>2</v>
      </c>
      <c r="AW52">
        <v>475327.5</v>
      </c>
      <c r="AX52">
        <v>4987807.5</v>
      </c>
      <c r="AY52">
        <v>1256.63706143591</v>
      </c>
      <c r="AZ52">
        <v>125663.706143591</v>
      </c>
      <c r="BA52">
        <v>7.9580000000000004E-4</v>
      </c>
      <c r="BB52">
        <v>2.3873000000000002E-3</v>
      </c>
      <c r="BC52">
        <v>2.0690099999999999E-2</v>
      </c>
      <c r="BD52">
        <v>-0.28190280000000001</v>
      </c>
      <c r="BE52">
        <v>-0.28031129999999999</v>
      </c>
      <c r="BF52">
        <v>-0.26200839999999997</v>
      </c>
    </row>
    <row r="53" spans="1:58">
      <c r="A53">
        <v>1259</v>
      </c>
      <c r="B53" t="s">
        <v>126</v>
      </c>
      <c r="C53" t="s">
        <v>86</v>
      </c>
      <c r="G53" s="23">
        <v>43668</v>
      </c>
      <c r="H53">
        <v>3</v>
      </c>
      <c r="I53">
        <v>1577</v>
      </c>
      <c r="J53">
        <v>7</v>
      </c>
      <c r="K53">
        <v>8</v>
      </c>
      <c r="L53">
        <v>6</v>
      </c>
      <c r="M53">
        <v>7</v>
      </c>
      <c r="N53">
        <v>0.69599999999999995</v>
      </c>
      <c r="O53">
        <v>0.79400000000000004</v>
      </c>
      <c r="P53">
        <v>0.59799999999999998</v>
      </c>
      <c r="Q53">
        <v>0.69599999999999995</v>
      </c>
      <c r="R53">
        <v>-123.3299713</v>
      </c>
      <c r="S53">
        <v>45.049140899999998</v>
      </c>
      <c r="T53">
        <v>7</v>
      </c>
      <c r="U53">
        <v>0.81705879999999997</v>
      </c>
      <c r="V53">
        <v>1.16632E-2</v>
      </c>
      <c r="W53">
        <v>474015.375</v>
      </c>
      <c r="X53">
        <v>4988462.5</v>
      </c>
      <c r="Y53">
        <v>1</v>
      </c>
      <c r="Z53">
        <v>0</v>
      </c>
      <c r="AA53">
        <v>8</v>
      </c>
      <c r="AB53">
        <v>0.1107075</v>
      </c>
      <c r="AC53">
        <v>0.79400000000000004</v>
      </c>
      <c r="AD53">
        <v>1</v>
      </c>
      <c r="AE53">
        <v>7</v>
      </c>
      <c r="AF53">
        <v>8.3448099999999997E-2</v>
      </c>
      <c r="AG53">
        <v>0.69599999999999995</v>
      </c>
      <c r="AH53">
        <v>1</v>
      </c>
      <c r="AI53">
        <v>31.052177400000001</v>
      </c>
      <c r="AJ53">
        <v>0.24752850000000001</v>
      </c>
      <c r="AK53">
        <v>1</v>
      </c>
      <c r="AL53">
        <v>0.25023400000000001</v>
      </c>
      <c r="AM53">
        <v>1</v>
      </c>
      <c r="AN53">
        <v>1</v>
      </c>
      <c r="AO53">
        <v>40</v>
      </c>
      <c r="AP53">
        <v>40</v>
      </c>
      <c r="AQ53">
        <v>1577</v>
      </c>
      <c r="AR53">
        <v>761</v>
      </c>
      <c r="AS53">
        <v>2025</v>
      </c>
      <c r="AT53" s="23">
        <v>45798</v>
      </c>
      <c r="AU53" s="23" t="s">
        <v>29</v>
      </c>
      <c r="AV53">
        <v>1</v>
      </c>
      <c r="AW53">
        <v>474015.36999999901</v>
      </c>
      <c r="AX53">
        <v>4988462.5</v>
      </c>
      <c r="AY53">
        <v>1256.63706143591</v>
      </c>
      <c r="AZ53">
        <v>125663.706143591</v>
      </c>
      <c r="BA53">
        <v>2.6282400000000001E-2</v>
      </c>
      <c r="BB53">
        <v>7.9576999999999998E-3</v>
      </c>
      <c r="BC53">
        <v>1.5915E-3</v>
      </c>
      <c r="BD53">
        <v>-0.2239516</v>
      </c>
      <c r="BE53">
        <v>-0.2422763</v>
      </c>
      <c r="BF53">
        <v>-0.24864249999999999</v>
      </c>
    </row>
    <row r="54" spans="1:58">
      <c r="A54">
        <v>2588</v>
      </c>
      <c r="B54" t="s">
        <v>97</v>
      </c>
      <c r="C54" t="s">
        <v>98</v>
      </c>
      <c r="D54" t="s">
        <v>99</v>
      </c>
      <c r="G54" s="23">
        <v>43668</v>
      </c>
      <c r="H54">
        <v>3</v>
      </c>
      <c r="I54">
        <v>2686</v>
      </c>
      <c r="J54">
        <v>8</v>
      </c>
      <c r="K54">
        <v>6</v>
      </c>
      <c r="L54">
        <v>6</v>
      </c>
      <c r="M54">
        <v>7</v>
      </c>
      <c r="N54">
        <v>0.79400000000000004</v>
      </c>
      <c r="O54">
        <v>0.59799999999999998</v>
      </c>
      <c r="P54">
        <v>0.59799999999999998</v>
      </c>
      <c r="Q54">
        <v>0.69599999999999995</v>
      </c>
      <c r="R54">
        <v>-123.20858</v>
      </c>
      <c r="S54">
        <v>45.065887500000002</v>
      </c>
      <c r="T54">
        <v>6.75</v>
      </c>
      <c r="U54">
        <v>0.78823529999999997</v>
      </c>
      <c r="V54">
        <v>3.9530000000000003E-2</v>
      </c>
      <c r="W54">
        <v>483579.40625</v>
      </c>
      <c r="X54">
        <v>4990291</v>
      </c>
      <c r="Y54">
        <v>0</v>
      </c>
      <c r="AA54">
        <v>4</v>
      </c>
      <c r="AB54">
        <v>0</v>
      </c>
      <c r="AC54">
        <v>0.40200000000000002</v>
      </c>
      <c r="AD54">
        <v>0</v>
      </c>
      <c r="AE54">
        <v>4</v>
      </c>
      <c r="AF54">
        <v>0</v>
      </c>
      <c r="AG54">
        <v>0.40200000000000002</v>
      </c>
      <c r="AH54">
        <v>0</v>
      </c>
      <c r="AI54">
        <v>31.052177400000001</v>
      </c>
      <c r="AJ54">
        <v>1E-4</v>
      </c>
      <c r="AK54">
        <v>0</v>
      </c>
      <c r="AL54">
        <v>0.33826299999999998</v>
      </c>
      <c r="AM54">
        <v>1</v>
      </c>
      <c r="AN54">
        <v>1</v>
      </c>
      <c r="AO54">
        <v>35</v>
      </c>
      <c r="AP54">
        <v>35</v>
      </c>
      <c r="AQ54">
        <v>2686</v>
      </c>
      <c r="AR54">
        <v>756</v>
      </c>
      <c r="AS54">
        <v>2025</v>
      </c>
      <c r="AT54" s="23">
        <v>45798</v>
      </c>
      <c r="AU54" s="23" t="s">
        <v>29</v>
      </c>
      <c r="AV54">
        <v>1</v>
      </c>
      <c r="AW54">
        <v>483579.4</v>
      </c>
      <c r="AX54">
        <v>4990291</v>
      </c>
      <c r="AY54">
        <v>1256.63706143591</v>
      </c>
      <c r="AZ54">
        <v>125663.706143591</v>
      </c>
      <c r="BA54">
        <v>1.4759E-3</v>
      </c>
      <c r="BB54">
        <v>7.162E-3</v>
      </c>
      <c r="BC54">
        <v>4.797E-4</v>
      </c>
      <c r="BD54">
        <v>-0.336787</v>
      </c>
      <c r="BE54">
        <v>-0.33110099999999998</v>
      </c>
      <c r="BF54">
        <v>-0.33778330000000001</v>
      </c>
    </row>
    <row r="55" spans="1:58">
      <c r="A55">
        <v>3354</v>
      </c>
      <c r="B55" t="s">
        <v>127</v>
      </c>
      <c r="C55" t="s">
        <v>86</v>
      </c>
      <c r="G55" s="23">
        <v>43668</v>
      </c>
      <c r="H55">
        <v>2</v>
      </c>
      <c r="I55">
        <v>3278</v>
      </c>
      <c r="J55">
        <v>7</v>
      </c>
      <c r="K55">
        <v>7</v>
      </c>
      <c r="L55">
        <v>8</v>
      </c>
      <c r="M55">
        <v>8</v>
      </c>
      <c r="N55">
        <v>0.69599999999999995</v>
      </c>
      <c r="O55">
        <v>0.69599999999999995</v>
      </c>
      <c r="P55">
        <v>0.79400000000000004</v>
      </c>
      <c r="Q55">
        <v>0.79400000000000004</v>
      </c>
      <c r="R55">
        <v>-123.0724792</v>
      </c>
      <c r="S55">
        <v>44.129566199999999</v>
      </c>
      <c r="T55">
        <v>7.5</v>
      </c>
      <c r="U55">
        <v>0.87470590000000004</v>
      </c>
      <c r="V55">
        <v>0.12783600000000001</v>
      </c>
      <c r="W55">
        <v>494201.8125</v>
      </c>
      <c r="X55">
        <v>4886266</v>
      </c>
      <c r="Y55">
        <v>1</v>
      </c>
      <c r="Z55">
        <v>0</v>
      </c>
      <c r="AA55">
        <v>5</v>
      </c>
      <c r="AB55">
        <v>0</v>
      </c>
      <c r="AC55">
        <v>0.5</v>
      </c>
      <c r="AD55">
        <v>0</v>
      </c>
      <c r="AE55">
        <v>6</v>
      </c>
      <c r="AF55">
        <v>4.07608E-2</v>
      </c>
      <c r="AG55">
        <v>0.59799999999999998</v>
      </c>
      <c r="AH55">
        <v>0</v>
      </c>
      <c r="AI55">
        <v>31.052177400000001</v>
      </c>
      <c r="AJ55">
        <v>1E-4</v>
      </c>
      <c r="AK55">
        <v>0</v>
      </c>
      <c r="AL55">
        <v>0.32246970000000003</v>
      </c>
      <c r="AM55">
        <v>1</v>
      </c>
      <c r="AN55">
        <v>1</v>
      </c>
      <c r="AO55">
        <v>44</v>
      </c>
      <c r="AP55">
        <v>44</v>
      </c>
      <c r="AQ55">
        <v>3278</v>
      </c>
      <c r="AR55">
        <v>766</v>
      </c>
      <c r="AS55">
        <v>2025</v>
      </c>
      <c r="AT55" s="23">
        <v>45798</v>
      </c>
      <c r="AU55" s="23" t="s">
        <v>29</v>
      </c>
      <c r="AV55">
        <v>0</v>
      </c>
      <c r="AW55">
        <v>494201.80999999901</v>
      </c>
      <c r="AX55">
        <v>4886266</v>
      </c>
      <c r="AY55">
        <v>1256.63706143591</v>
      </c>
      <c r="AZ55">
        <v>125663.706143591</v>
      </c>
      <c r="BA55">
        <v>7.9580000000000004E-4</v>
      </c>
      <c r="BB55">
        <v>1.8200999999999998E-2</v>
      </c>
      <c r="BC55">
        <v>1.3514999999999999E-2</v>
      </c>
      <c r="BD55">
        <v>-0.32167390000000001</v>
      </c>
      <c r="BE55">
        <v>-0.3042687</v>
      </c>
      <c r="BF55">
        <v>-0.30895470000000003</v>
      </c>
    </row>
    <row r="56" spans="1:58">
      <c r="A56">
        <v>3463</v>
      </c>
      <c r="B56" t="s">
        <v>128</v>
      </c>
      <c r="C56" t="s">
        <v>86</v>
      </c>
      <c r="G56" s="23">
        <v>43668</v>
      </c>
      <c r="H56">
        <v>3</v>
      </c>
      <c r="I56">
        <v>3367</v>
      </c>
      <c r="J56">
        <v>8</v>
      </c>
      <c r="K56">
        <v>8</v>
      </c>
      <c r="L56">
        <v>8</v>
      </c>
      <c r="M56">
        <v>8</v>
      </c>
      <c r="N56">
        <v>0.79400000000000004</v>
      </c>
      <c r="O56">
        <v>0.79400000000000004</v>
      </c>
      <c r="P56">
        <v>0.79400000000000004</v>
      </c>
      <c r="Q56">
        <v>0.79400000000000004</v>
      </c>
      <c r="R56">
        <v>-123.4056702</v>
      </c>
      <c r="S56">
        <v>45.042205799999998</v>
      </c>
      <c r="T56">
        <v>8</v>
      </c>
      <c r="U56">
        <v>0.93235299999999999</v>
      </c>
      <c r="V56">
        <v>0.2537334</v>
      </c>
      <c r="W56">
        <v>468050.65625</v>
      </c>
      <c r="X56">
        <v>4987719</v>
      </c>
      <c r="Y56">
        <v>1</v>
      </c>
      <c r="Z56">
        <v>3</v>
      </c>
      <c r="AA56">
        <v>8</v>
      </c>
      <c r="AB56">
        <v>0.28621200000000002</v>
      </c>
      <c r="AC56">
        <v>0.79400000000000004</v>
      </c>
      <c r="AD56">
        <v>0</v>
      </c>
      <c r="AE56">
        <v>8</v>
      </c>
      <c r="AF56">
        <v>0.46015240000000002</v>
      </c>
      <c r="AG56">
        <v>0.79400000000000004</v>
      </c>
      <c r="AH56">
        <v>0</v>
      </c>
      <c r="AI56">
        <v>31.052177400000001</v>
      </c>
      <c r="AJ56">
        <v>0.37057499999999999</v>
      </c>
      <c r="AK56">
        <v>1</v>
      </c>
      <c r="AL56">
        <v>0.44829550000000001</v>
      </c>
      <c r="AM56">
        <v>1</v>
      </c>
      <c r="AN56">
        <v>1</v>
      </c>
      <c r="AO56">
        <v>42</v>
      </c>
      <c r="AP56">
        <v>42</v>
      </c>
      <c r="AQ56">
        <v>3367</v>
      </c>
      <c r="AR56">
        <v>763</v>
      </c>
      <c r="AS56">
        <v>2025</v>
      </c>
      <c r="AT56" s="23">
        <v>45798</v>
      </c>
      <c r="AU56" s="23" t="s">
        <v>29</v>
      </c>
      <c r="AV56">
        <v>0</v>
      </c>
      <c r="AW56">
        <v>468050.65</v>
      </c>
      <c r="AX56">
        <v>4987719</v>
      </c>
      <c r="AY56">
        <v>1256.63706143591</v>
      </c>
      <c r="AZ56">
        <v>125663.706143591</v>
      </c>
      <c r="BA56">
        <v>7.9580000000000004E-4</v>
      </c>
      <c r="BB56">
        <v>1.5915E-3</v>
      </c>
      <c r="BC56">
        <v>7.9580000000000004E-4</v>
      </c>
      <c r="BD56">
        <v>-0.4474997</v>
      </c>
      <c r="BE56">
        <v>-0.44670389999999999</v>
      </c>
      <c r="BF56">
        <v>-0.4474997</v>
      </c>
    </row>
    <row r="57" spans="1:58">
      <c r="A57">
        <v>4048</v>
      </c>
      <c r="B57" t="s">
        <v>125</v>
      </c>
      <c r="C57" t="s">
        <v>86</v>
      </c>
      <c r="G57" s="23">
        <v>43668</v>
      </c>
      <c r="H57">
        <v>3</v>
      </c>
      <c r="I57">
        <v>3815</v>
      </c>
      <c r="J57">
        <v>8</v>
      </c>
      <c r="K57">
        <v>7</v>
      </c>
      <c r="L57">
        <v>6</v>
      </c>
      <c r="M57">
        <v>8</v>
      </c>
      <c r="N57">
        <v>0.79400000000000004</v>
      </c>
      <c r="O57">
        <v>0.69599999999999995</v>
      </c>
      <c r="P57">
        <v>0.59799999999999998</v>
      </c>
      <c r="Q57">
        <v>0.79400000000000004</v>
      </c>
      <c r="R57">
        <v>-123.27364350000001</v>
      </c>
      <c r="S57">
        <v>45.042457599999999</v>
      </c>
      <c r="T57">
        <v>7.25</v>
      </c>
      <c r="U57">
        <v>0.84588240000000003</v>
      </c>
      <c r="V57">
        <v>0.28316980000000003</v>
      </c>
      <c r="W57">
        <v>478448.5625</v>
      </c>
      <c r="X57">
        <v>4987703.5</v>
      </c>
      <c r="Y57">
        <v>0</v>
      </c>
      <c r="AA57">
        <v>6</v>
      </c>
      <c r="AB57">
        <v>1.6163E-3</v>
      </c>
      <c r="AC57">
        <v>0.59799999999999998</v>
      </c>
      <c r="AD57">
        <v>0</v>
      </c>
      <c r="AE57">
        <v>7</v>
      </c>
      <c r="AF57">
        <v>1.7483100000000001E-2</v>
      </c>
      <c r="AG57">
        <v>0.69599999999999995</v>
      </c>
      <c r="AH57">
        <v>0</v>
      </c>
      <c r="AI57">
        <v>31.052177400000001</v>
      </c>
      <c r="AJ57">
        <v>1E-4</v>
      </c>
      <c r="AK57">
        <v>0</v>
      </c>
      <c r="AL57">
        <v>0.28460249999999998</v>
      </c>
      <c r="AM57">
        <v>1</v>
      </c>
      <c r="AN57">
        <v>1</v>
      </c>
      <c r="AO57">
        <v>37</v>
      </c>
      <c r="AP57">
        <v>37</v>
      </c>
      <c r="AQ57">
        <v>3815</v>
      </c>
      <c r="AR57">
        <v>758</v>
      </c>
      <c r="AS57">
        <v>2025</v>
      </c>
      <c r="AT57" s="23">
        <v>45798</v>
      </c>
      <c r="AU57" s="23" t="s">
        <v>29</v>
      </c>
      <c r="AV57">
        <v>1</v>
      </c>
      <c r="AW57">
        <v>478448.55999999901</v>
      </c>
      <c r="AX57">
        <v>4987703.5</v>
      </c>
      <c r="AY57">
        <v>1256.63706143591</v>
      </c>
      <c r="AZ57">
        <v>125663.706143591</v>
      </c>
      <c r="BA57">
        <v>3.6801999999999998E-3</v>
      </c>
      <c r="BB57">
        <v>7.9580000000000004E-4</v>
      </c>
      <c r="BC57">
        <v>5.5119999999999995E-4</v>
      </c>
      <c r="BD57">
        <v>-0.28092220000000001</v>
      </c>
      <c r="BE57">
        <v>-0.28380670000000002</v>
      </c>
      <c r="BF57">
        <v>-0.2840512</v>
      </c>
    </row>
    <row r="58" spans="1:58">
      <c r="A58">
        <v>4183</v>
      </c>
      <c r="B58" t="s">
        <v>129</v>
      </c>
      <c r="C58" t="s">
        <v>86</v>
      </c>
      <c r="G58" s="23">
        <v>43668</v>
      </c>
      <c r="H58">
        <v>3</v>
      </c>
      <c r="I58">
        <v>3915</v>
      </c>
      <c r="J58">
        <v>7</v>
      </c>
      <c r="K58">
        <v>8</v>
      </c>
      <c r="L58">
        <v>7</v>
      </c>
      <c r="M58">
        <v>7</v>
      </c>
      <c r="N58">
        <v>0.69599999999999995</v>
      </c>
      <c r="O58">
        <v>0.79400000000000004</v>
      </c>
      <c r="P58">
        <v>0.69599999999999995</v>
      </c>
      <c r="Q58">
        <v>0.69599999999999995</v>
      </c>
      <c r="R58">
        <v>-123.3050842</v>
      </c>
      <c r="S58">
        <v>45.042083699999999</v>
      </c>
      <c r="T58">
        <v>7.25</v>
      </c>
      <c r="U58">
        <v>0.84588240000000003</v>
      </c>
      <c r="V58">
        <v>3.0514699999999999E-2</v>
      </c>
      <c r="W58">
        <v>475972</v>
      </c>
      <c r="X58">
        <v>4987670.5</v>
      </c>
      <c r="Y58">
        <v>0</v>
      </c>
      <c r="AA58">
        <v>4</v>
      </c>
      <c r="AB58">
        <v>0</v>
      </c>
      <c r="AC58">
        <v>0.40200000000000002</v>
      </c>
      <c r="AD58">
        <v>1</v>
      </c>
      <c r="AE58">
        <v>7</v>
      </c>
      <c r="AF58">
        <v>3.2475900000000002E-2</v>
      </c>
      <c r="AG58">
        <v>0.69599999999999995</v>
      </c>
      <c r="AH58">
        <v>0</v>
      </c>
      <c r="AI58">
        <v>31.052177400000001</v>
      </c>
      <c r="AJ58">
        <v>0.16590450000000001</v>
      </c>
      <c r="AK58">
        <v>1</v>
      </c>
      <c r="AL58">
        <v>0.71947309999999998</v>
      </c>
      <c r="AM58">
        <v>1</v>
      </c>
      <c r="AN58">
        <v>1</v>
      </c>
      <c r="AO58">
        <v>38</v>
      </c>
      <c r="AP58">
        <v>38</v>
      </c>
      <c r="AQ58">
        <v>3915</v>
      </c>
      <c r="AR58">
        <v>759</v>
      </c>
      <c r="AS58">
        <v>2025</v>
      </c>
      <c r="AT58" s="23">
        <v>45798</v>
      </c>
      <c r="AU58" s="23" t="s">
        <v>29</v>
      </c>
      <c r="AV58">
        <v>3</v>
      </c>
      <c r="AW58">
        <v>475972</v>
      </c>
      <c r="AX58">
        <v>4987670.5</v>
      </c>
      <c r="AY58">
        <v>1256.63706143591</v>
      </c>
      <c r="AZ58">
        <v>125663.706143591</v>
      </c>
      <c r="BA58">
        <v>1.5915E-3</v>
      </c>
      <c r="BB58">
        <v>1.5915E-3</v>
      </c>
      <c r="BC58">
        <v>2.3873000000000002E-3</v>
      </c>
      <c r="BD58">
        <v>-0.71788149999999995</v>
      </c>
      <c r="BE58">
        <v>-0.71788149999999995</v>
      </c>
      <c r="BF58">
        <v>-0.71708570000000005</v>
      </c>
    </row>
    <row r="59" spans="1:58">
      <c r="A59">
        <v>4521</v>
      </c>
      <c r="B59" t="s">
        <v>130</v>
      </c>
      <c r="C59" t="s">
        <v>86</v>
      </c>
      <c r="G59" s="23">
        <v>43668</v>
      </c>
      <c r="H59">
        <v>3</v>
      </c>
      <c r="I59">
        <v>4140</v>
      </c>
      <c r="J59">
        <v>8</v>
      </c>
      <c r="K59">
        <v>8</v>
      </c>
      <c r="L59">
        <v>6</v>
      </c>
      <c r="M59">
        <v>7</v>
      </c>
      <c r="N59">
        <v>0.79400000000000004</v>
      </c>
      <c r="O59">
        <v>0.79400000000000004</v>
      </c>
      <c r="P59">
        <v>0.59799999999999998</v>
      </c>
      <c r="Q59">
        <v>0.69599999999999995</v>
      </c>
      <c r="R59">
        <v>-123.3720703</v>
      </c>
      <c r="S59">
        <v>45.0177689</v>
      </c>
      <c r="T59">
        <v>7.25</v>
      </c>
      <c r="U59">
        <v>0.84588240000000003</v>
      </c>
      <c r="V59">
        <v>5.4489999999999996E-4</v>
      </c>
      <c r="W59">
        <v>470684.0625</v>
      </c>
      <c r="X59">
        <v>4984992</v>
      </c>
      <c r="Y59">
        <v>0</v>
      </c>
      <c r="AA59">
        <v>4</v>
      </c>
      <c r="AB59">
        <v>0</v>
      </c>
      <c r="AC59">
        <v>0.40200000000000002</v>
      </c>
      <c r="AD59">
        <v>0</v>
      </c>
      <c r="AE59">
        <v>6</v>
      </c>
      <c r="AF59">
        <v>6.5201300000000004E-2</v>
      </c>
      <c r="AG59">
        <v>0.59799999999999998</v>
      </c>
      <c r="AH59">
        <v>0</v>
      </c>
      <c r="AI59">
        <v>31.052177400000001</v>
      </c>
      <c r="AJ59">
        <v>0.2533183</v>
      </c>
      <c r="AK59">
        <v>1</v>
      </c>
      <c r="AL59">
        <v>0.2835625</v>
      </c>
      <c r="AM59">
        <v>1</v>
      </c>
      <c r="AN59">
        <v>1</v>
      </c>
      <c r="AO59">
        <v>43</v>
      </c>
      <c r="AP59">
        <v>43</v>
      </c>
      <c r="AQ59">
        <v>4140</v>
      </c>
      <c r="AR59">
        <v>764</v>
      </c>
      <c r="AS59">
        <v>2025</v>
      </c>
      <c r="AT59" s="23">
        <v>45798</v>
      </c>
      <c r="AU59" s="23" t="s">
        <v>29</v>
      </c>
      <c r="AV59">
        <v>2</v>
      </c>
      <c r="AW59">
        <v>470684.05999999901</v>
      </c>
      <c r="AX59">
        <v>4984992</v>
      </c>
      <c r="AY59">
        <v>1256.63706143591</v>
      </c>
      <c r="AZ59">
        <v>125663.706143591</v>
      </c>
      <c r="BA59">
        <v>0.3002687</v>
      </c>
      <c r="BB59">
        <v>0.3106138</v>
      </c>
      <c r="BC59">
        <v>0.3090174</v>
      </c>
      <c r="BD59">
        <v>1.6706200000000001E-2</v>
      </c>
      <c r="BE59">
        <v>2.7051200000000001E-2</v>
      </c>
      <c r="BF59">
        <v>2.5454899999999999E-2</v>
      </c>
    </row>
    <row r="60" spans="1:58">
      <c r="A60">
        <v>5921</v>
      </c>
      <c r="B60" t="s">
        <v>118</v>
      </c>
      <c r="C60" t="s">
        <v>131</v>
      </c>
      <c r="G60" s="23">
        <v>43668</v>
      </c>
      <c r="H60">
        <v>2</v>
      </c>
      <c r="I60">
        <v>5195</v>
      </c>
      <c r="J60">
        <v>7</v>
      </c>
      <c r="K60">
        <v>7</v>
      </c>
      <c r="L60">
        <v>8</v>
      </c>
      <c r="M60">
        <v>8</v>
      </c>
      <c r="N60">
        <v>0.69599999999999995</v>
      </c>
      <c r="O60">
        <v>0.69599999999999995</v>
      </c>
      <c r="P60">
        <v>0.79400000000000004</v>
      </c>
      <c r="Q60">
        <v>0.79400000000000004</v>
      </c>
      <c r="R60">
        <v>-123.087822</v>
      </c>
      <c r="S60">
        <v>44.128768899999997</v>
      </c>
      <c r="T60">
        <v>7.5</v>
      </c>
      <c r="U60">
        <v>0.87470590000000004</v>
      </c>
      <c r="V60">
        <v>0.1289594</v>
      </c>
      <c r="W60">
        <v>492974.46875</v>
      </c>
      <c r="X60">
        <v>4886178.5</v>
      </c>
      <c r="Y60">
        <v>0</v>
      </c>
      <c r="AA60">
        <v>8</v>
      </c>
      <c r="AB60">
        <v>0.13845850000000001</v>
      </c>
      <c r="AC60">
        <v>0.79400000000000004</v>
      </c>
      <c r="AD60">
        <v>1</v>
      </c>
      <c r="AE60">
        <v>5</v>
      </c>
      <c r="AF60">
        <v>5.4850000000000005E-4</v>
      </c>
      <c r="AG60">
        <v>0.5</v>
      </c>
      <c r="AH60">
        <v>0</v>
      </c>
      <c r="AI60">
        <v>31.052177400000001</v>
      </c>
      <c r="AJ60">
        <v>1E-4</v>
      </c>
      <c r="AK60">
        <v>0</v>
      </c>
      <c r="AL60">
        <v>0.16034109999999999</v>
      </c>
      <c r="AM60">
        <v>1</v>
      </c>
      <c r="AN60">
        <v>1</v>
      </c>
      <c r="AO60">
        <v>45</v>
      </c>
      <c r="AP60">
        <v>45</v>
      </c>
      <c r="AQ60">
        <v>5195</v>
      </c>
      <c r="AR60">
        <v>767</v>
      </c>
      <c r="AS60">
        <v>2025</v>
      </c>
      <c r="AT60" s="23">
        <v>45798</v>
      </c>
      <c r="AU60" s="23" t="s">
        <v>29</v>
      </c>
      <c r="AV60">
        <v>0</v>
      </c>
      <c r="AW60">
        <v>492974.46</v>
      </c>
      <c r="AX60">
        <v>4886178.5</v>
      </c>
      <c r="AY60">
        <v>1256.63706143591</v>
      </c>
      <c r="AZ60">
        <v>125663.706143591</v>
      </c>
      <c r="BA60">
        <v>8.2286000000000008E-3</v>
      </c>
      <c r="BB60">
        <v>1.5915E-3</v>
      </c>
      <c r="BC60">
        <v>7.9580000000000004E-4</v>
      </c>
      <c r="BD60">
        <v>-0.15211259999999999</v>
      </c>
      <c r="BE60">
        <v>-0.15874959999999999</v>
      </c>
      <c r="BF60">
        <v>-0.1595453</v>
      </c>
    </row>
    <row r="61" spans="1:58">
      <c r="A61">
        <v>6192</v>
      </c>
      <c r="B61" t="s">
        <v>97</v>
      </c>
      <c r="C61" t="s">
        <v>98</v>
      </c>
      <c r="D61" t="s">
        <v>99</v>
      </c>
      <c r="G61" s="23">
        <v>43668</v>
      </c>
      <c r="H61">
        <v>3</v>
      </c>
      <c r="I61">
        <v>5364</v>
      </c>
      <c r="J61">
        <v>6</v>
      </c>
      <c r="K61">
        <v>6</v>
      </c>
      <c r="L61">
        <v>7</v>
      </c>
      <c r="M61">
        <v>8</v>
      </c>
      <c r="N61">
        <v>0.59799999999999998</v>
      </c>
      <c r="O61">
        <v>0.59799999999999998</v>
      </c>
      <c r="P61">
        <v>0.69599999999999995</v>
      </c>
      <c r="Q61">
        <v>0.79400000000000004</v>
      </c>
      <c r="R61">
        <v>-123.20786289999999</v>
      </c>
      <c r="S61">
        <v>45.0183258</v>
      </c>
      <c r="T61">
        <v>6.75</v>
      </c>
      <c r="U61">
        <v>0.78823529999999997</v>
      </c>
      <c r="V61">
        <v>0.1331029</v>
      </c>
      <c r="W61">
        <v>483622.71875</v>
      </c>
      <c r="X61">
        <v>4985007.5</v>
      </c>
      <c r="Y61">
        <v>0</v>
      </c>
      <c r="AA61">
        <v>4</v>
      </c>
      <c r="AB61">
        <v>0</v>
      </c>
      <c r="AC61">
        <v>0.40200000000000002</v>
      </c>
      <c r="AD61">
        <v>1</v>
      </c>
      <c r="AE61">
        <v>3</v>
      </c>
      <c r="AF61">
        <v>0</v>
      </c>
      <c r="AG61">
        <v>0.30399999999999999</v>
      </c>
      <c r="AH61">
        <v>0</v>
      </c>
      <c r="AI61">
        <v>31.052177400000001</v>
      </c>
      <c r="AJ61">
        <v>1E-4</v>
      </c>
      <c r="AK61">
        <v>0</v>
      </c>
      <c r="AL61">
        <v>0.24195449999999999</v>
      </c>
      <c r="AM61">
        <v>1</v>
      </c>
      <c r="AN61">
        <v>1</v>
      </c>
      <c r="AO61">
        <v>78</v>
      </c>
      <c r="AP61">
        <v>78</v>
      </c>
      <c r="AQ61">
        <v>5364</v>
      </c>
      <c r="AR61">
        <v>800</v>
      </c>
      <c r="AS61">
        <v>2025</v>
      </c>
      <c r="AT61" s="23">
        <v>45798</v>
      </c>
      <c r="AU61" s="23" t="s">
        <v>29</v>
      </c>
      <c r="AV61">
        <v>0</v>
      </c>
      <c r="AW61">
        <v>483622.71</v>
      </c>
      <c r="AX61">
        <v>4985007.5</v>
      </c>
      <c r="AY61">
        <v>1256.63706143591</v>
      </c>
      <c r="AZ61">
        <v>125663.706143591</v>
      </c>
      <c r="BA61">
        <v>0.21727969999999999</v>
      </c>
      <c r="BB61">
        <v>0.18361279999999999</v>
      </c>
      <c r="BC61">
        <v>3.81E-3</v>
      </c>
      <c r="BD61">
        <v>-2.4674700000000001E-2</v>
      </c>
      <c r="BE61">
        <v>-5.8341700000000003E-2</v>
      </c>
      <c r="BF61">
        <v>-0.23814450000000001</v>
      </c>
    </row>
    <row r="62" spans="1:58">
      <c r="A62">
        <v>6208</v>
      </c>
      <c r="B62" t="s">
        <v>132</v>
      </c>
      <c r="C62" t="s">
        <v>86</v>
      </c>
      <c r="G62" s="23">
        <v>43668</v>
      </c>
      <c r="H62">
        <v>3</v>
      </c>
      <c r="I62">
        <v>5380</v>
      </c>
      <c r="J62">
        <v>6</v>
      </c>
      <c r="K62">
        <v>7</v>
      </c>
      <c r="L62">
        <v>6</v>
      </c>
      <c r="M62">
        <v>7</v>
      </c>
      <c r="N62">
        <v>0.59799999999999998</v>
      </c>
      <c r="O62">
        <v>0.69599999999999995</v>
      </c>
      <c r="P62">
        <v>0.59799999999999998</v>
      </c>
      <c r="Q62">
        <v>0.69599999999999995</v>
      </c>
      <c r="R62">
        <v>-123.23724369999999</v>
      </c>
      <c r="S62">
        <v>45.065952299999999</v>
      </c>
      <c r="T62">
        <v>6.5</v>
      </c>
      <c r="U62">
        <v>0.75941179999999997</v>
      </c>
      <c r="V62">
        <v>1.0743E-3</v>
      </c>
      <c r="W62">
        <v>481323.21875</v>
      </c>
      <c r="X62">
        <v>4990304</v>
      </c>
      <c r="Y62">
        <v>0</v>
      </c>
      <c r="AA62">
        <v>5</v>
      </c>
      <c r="AB62">
        <v>0</v>
      </c>
      <c r="AC62">
        <v>0.5</v>
      </c>
      <c r="AD62">
        <v>0</v>
      </c>
      <c r="AE62">
        <v>5</v>
      </c>
      <c r="AF62">
        <v>0</v>
      </c>
      <c r="AG62">
        <v>0.5</v>
      </c>
      <c r="AH62">
        <v>0</v>
      </c>
      <c r="AI62">
        <v>31.052177400000001</v>
      </c>
      <c r="AJ62">
        <v>1E-4</v>
      </c>
      <c r="AK62">
        <v>0</v>
      </c>
      <c r="AL62">
        <v>0.26300800000000002</v>
      </c>
      <c r="AM62">
        <v>1</v>
      </c>
      <c r="AN62">
        <v>1</v>
      </c>
      <c r="AO62">
        <v>36</v>
      </c>
      <c r="AP62">
        <v>36</v>
      </c>
      <c r="AQ62">
        <v>5380</v>
      </c>
      <c r="AR62">
        <v>757</v>
      </c>
      <c r="AS62">
        <v>2025</v>
      </c>
      <c r="AT62" s="23">
        <v>45798</v>
      </c>
      <c r="AU62" s="23" t="s">
        <v>29</v>
      </c>
      <c r="AV62">
        <v>0</v>
      </c>
      <c r="AW62">
        <v>481323.21</v>
      </c>
      <c r="AX62">
        <v>4990304</v>
      </c>
      <c r="AY62">
        <v>1256.63706143591</v>
      </c>
      <c r="AZ62">
        <v>125663.706143591</v>
      </c>
      <c r="BA62">
        <v>2.3873000000000002E-3</v>
      </c>
      <c r="BB62">
        <v>5.5703999999999997E-3</v>
      </c>
      <c r="BC62">
        <v>2.3873000000000002E-3</v>
      </c>
      <c r="BD62">
        <v>-0.26062069999999998</v>
      </c>
      <c r="BE62">
        <v>-0.25743759999999999</v>
      </c>
      <c r="BF62">
        <v>-0.26062069999999998</v>
      </c>
    </row>
    <row r="63" spans="1:58">
      <c r="A63">
        <v>520</v>
      </c>
      <c r="B63" t="s">
        <v>133</v>
      </c>
      <c r="C63" t="s">
        <v>82</v>
      </c>
      <c r="D63" t="s">
        <v>83</v>
      </c>
      <c r="F63" t="s">
        <v>84</v>
      </c>
      <c r="H63">
        <v>1</v>
      </c>
      <c r="I63">
        <v>342</v>
      </c>
      <c r="J63">
        <v>8</v>
      </c>
      <c r="K63">
        <v>8</v>
      </c>
      <c r="L63">
        <v>6</v>
      </c>
      <c r="M63">
        <v>7</v>
      </c>
      <c r="N63">
        <v>0.79400000000000004</v>
      </c>
      <c r="O63">
        <v>0.79400000000000004</v>
      </c>
      <c r="P63">
        <v>0.59799999999999998</v>
      </c>
      <c r="Q63">
        <v>0.69599999999999995</v>
      </c>
      <c r="R63">
        <v>-123.0759888</v>
      </c>
      <c r="S63">
        <v>45.181201899999998</v>
      </c>
      <c r="T63">
        <v>7.25</v>
      </c>
      <c r="U63">
        <v>0.84588240000000003</v>
      </c>
      <c r="V63">
        <v>0</v>
      </c>
      <c r="W63">
        <v>494029.5625</v>
      </c>
      <c r="X63">
        <v>5003083</v>
      </c>
      <c r="Y63">
        <v>0</v>
      </c>
      <c r="AA63">
        <v>5</v>
      </c>
      <c r="AB63">
        <v>5.5150000000000002E-4</v>
      </c>
      <c r="AC63">
        <v>0.5</v>
      </c>
      <c r="AD63">
        <v>0</v>
      </c>
      <c r="AE63">
        <v>5</v>
      </c>
      <c r="AF63">
        <v>0</v>
      </c>
      <c r="AG63">
        <v>0.5</v>
      </c>
      <c r="AH63">
        <v>0</v>
      </c>
      <c r="AI63">
        <v>31.052177400000001</v>
      </c>
      <c r="AJ63">
        <v>0.16817190000000001</v>
      </c>
      <c r="AK63">
        <v>0</v>
      </c>
      <c r="AL63">
        <v>0.29728189999999999</v>
      </c>
      <c r="AM63">
        <v>1</v>
      </c>
      <c r="AN63">
        <v>1</v>
      </c>
      <c r="AO63">
        <v>82</v>
      </c>
      <c r="AP63">
        <v>82</v>
      </c>
      <c r="AQ63">
        <v>342</v>
      </c>
      <c r="AR63">
        <v>804</v>
      </c>
      <c r="AS63">
        <v>2025</v>
      </c>
      <c r="AT63" s="23">
        <v>45799</v>
      </c>
      <c r="AU63" s="23" t="s">
        <v>29</v>
      </c>
      <c r="AV63">
        <v>0</v>
      </c>
      <c r="AW63">
        <v>494029.55999999901</v>
      </c>
      <c r="AX63">
        <v>5003083</v>
      </c>
      <c r="AY63">
        <v>1256.63706143591</v>
      </c>
      <c r="AZ63">
        <v>125663.706143591</v>
      </c>
      <c r="BA63">
        <v>1.5915E-3</v>
      </c>
      <c r="BB63">
        <v>7.9580000000000004E-4</v>
      </c>
      <c r="BC63">
        <v>2.3873000000000002E-3</v>
      </c>
      <c r="BD63">
        <v>-0.29569030000000002</v>
      </c>
      <c r="BE63">
        <v>-0.29648609999999997</v>
      </c>
      <c r="BF63">
        <v>-0.29489460000000001</v>
      </c>
    </row>
    <row r="64" spans="1:58">
      <c r="A64">
        <v>714</v>
      </c>
      <c r="B64" t="s">
        <v>134</v>
      </c>
      <c r="C64" t="s">
        <v>82</v>
      </c>
      <c r="D64" t="s">
        <v>83</v>
      </c>
      <c r="F64" t="s">
        <v>84</v>
      </c>
      <c r="H64">
        <v>1</v>
      </c>
      <c r="I64">
        <v>482</v>
      </c>
      <c r="J64">
        <v>5</v>
      </c>
      <c r="K64">
        <v>5</v>
      </c>
      <c r="L64">
        <v>5</v>
      </c>
      <c r="M64">
        <v>6</v>
      </c>
      <c r="N64">
        <v>0.5</v>
      </c>
      <c r="O64">
        <v>0.5</v>
      </c>
      <c r="P64">
        <v>0.5</v>
      </c>
      <c r="Q64">
        <v>0.59799999999999998</v>
      </c>
      <c r="R64">
        <v>-123.04422</v>
      </c>
      <c r="S64">
        <v>45.157108299999997</v>
      </c>
      <c r="T64">
        <v>5.25</v>
      </c>
      <c r="U64">
        <v>0.61529409999999995</v>
      </c>
      <c r="V64">
        <v>0</v>
      </c>
      <c r="W64">
        <v>496524.5625</v>
      </c>
      <c r="X64">
        <v>5000404.5</v>
      </c>
      <c r="Y64">
        <v>0</v>
      </c>
      <c r="AA64">
        <v>6</v>
      </c>
      <c r="AB64">
        <v>4.8217099999999999E-2</v>
      </c>
      <c r="AC64">
        <v>0.59799999999999998</v>
      </c>
      <c r="AD64">
        <v>0</v>
      </c>
      <c r="AE64">
        <v>6</v>
      </c>
      <c r="AF64">
        <v>1.8901600000000001E-2</v>
      </c>
      <c r="AG64">
        <v>0.59799999999999998</v>
      </c>
      <c r="AH64">
        <v>0</v>
      </c>
      <c r="AI64">
        <v>31.052177400000001</v>
      </c>
      <c r="AJ64">
        <v>0.1298058</v>
      </c>
      <c r="AK64">
        <v>0</v>
      </c>
      <c r="AL64">
        <v>0.2927208</v>
      </c>
      <c r="AM64">
        <v>1</v>
      </c>
      <c r="AN64">
        <v>1</v>
      </c>
      <c r="AO64">
        <v>83</v>
      </c>
      <c r="AP64">
        <v>83</v>
      </c>
      <c r="AQ64">
        <v>482</v>
      </c>
      <c r="AR64">
        <v>805</v>
      </c>
      <c r="AS64">
        <v>2025</v>
      </c>
      <c r="AT64" s="23">
        <v>45799</v>
      </c>
      <c r="AU64" s="23" t="s">
        <v>29</v>
      </c>
      <c r="AV64">
        <v>0</v>
      </c>
      <c r="AW64">
        <v>496524.55999999901</v>
      </c>
      <c r="AX64">
        <v>5000404.5</v>
      </c>
      <c r="AY64">
        <v>1256.63706143591</v>
      </c>
      <c r="AZ64">
        <v>125663.706143591</v>
      </c>
      <c r="BA64">
        <v>0.21507090000000001</v>
      </c>
      <c r="BB64">
        <v>0.23704829999999999</v>
      </c>
      <c r="BC64">
        <v>4.772E-4</v>
      </c>
      <c r="BD64">
        <v>-7.7649999999999997E-2</v>
      </c>
      <c r="BE64">
        <v>-5.56725E-2</v>
      </c>
      <c r="BF64">
        <v>-0.29224359999999999</v>
      </c>
    </row>
    <row r="65" spans="1:58">
      <c r="A65">
        <v>213</v>
      </c>
      <c r="B65" t="s">
        <v>135</v>
      </c>
      <c r="C65" t="s">
        <v>86</v>
      </c>
      <c r="G65" s="23">
        <v>43668</v>
      </c>
      <c r="H65">
        <v>2</v>
      </c>
      <c r="I65">
        <v>711</v>
      </c>
      <c r="J65">
        <v>6</v>
      </c>
      <c r="K65">
        <v>8</v>
      </c>
      <c r="L65">
        <v>8</v>
      </c>
      <c r="M65">
        <v>8</v>
      </c>
      <c r="N65">
        <v>0.59799999999999998</v>
      </c>
      <c r="O65">
        <v>0.79400000000000004</v>
      </c>
      <c r="P65">
        <v>0.79400000000000004</v>
      </c>
      <c r="Q65">
        <v>0.79400000000000004</v>
      </c>
      <c r="R65">
        <v>-123.2065964</v>
      </c>
      <c r="S65">
        <v>44.524795500000003</v>
      </c>
      <c r="T65">
        <v>7.5</v>
      </c>
      <c r="U65">
        <v>0.87470590000000004</v>
      </c>
      <c r="V65">
        <v>3.2245500000000003E-2</v>
      </c>
      <c r="W65">
        <v>483583.25</v>
      </c>
      <c r="X65">
        <v>4930184</v>
      </c>
      <c r="Y65">
        <v>0</v>
      </c>
      <c r="AA65">
        <v>4</v>
      </c>
      <c r="AB65">
        <v>0</v>
      </c>
      <c r="AC65">
        <v>0.40200000000000002</v>
      </c>
      <c r="AD65">
        <v>1</v>
      </c>
      <c r="AE65">
        <v>5</v>
      </c>
      <c r="AF65">
        <v>2.8587E-3</v>
      </c>
      <c r="AG65">
        <v>0.5</v>
      </c>
      <c r="AH65">
        <v>0</v>
      </c>
      <c r="AI65">
        <v>31.052177400000001</v>
      </c>
      <c r="AJ65">
        <v>1E-4</v>
      </c>
      <c r="AK65">
        <v>0</v>
      </c>
      <c r="AL65">
        <v>0.20367779999999999</v>
      </c>
      <c r="AM65">
        <v>1</v>
      </c>
      <c r="AN65">
        <v>1</v>
      </c>
      <c r="AO65">
        <v>46</v>
      </c>
      <c r="AP65">
        <v>46</v>
      </c>
      <c r="AQ65">
        <v>711</v>
      </c>
      <c r="AR65">
        <v>768</v>
      </c>
      <c r="AS65">
        <v>2025</v>
      </c>
      <c r="AT65" s="23">
        <v>45799</v>
      </c>
      <c r="AU65" s="23" t="s">
        <v>29</v>
      </c>
      <c r="AV65">
        <v>0</v>
      </c>
      <c r="AW65">
        <v>483583.25</v>
      </c>
      <c r="AX65">
        <v>4930184</v>
      </c>
      <c r="AY65">
        <v>1256.63706143591</v>
      </c>
      <c r="AZ65">
        <v>125663.706143591</v>
      </c>
      <c r="BA65">
        <v>0.22250710000000001</v>
      </c>
      <c r="BB65">
        <v>0.2288733</v>
      </c>
      <c r="BC65">
        <v>0.24149570000000001</v>
      </c>
      <c r="BD65">
        <v>1.88293E-2</v>
      </c>
      <c r="BE65">
        <v>2.5195499999999999E-2</v>
      </c>
      <c r="BF65">
        <v>3.7817900000000002E-2</v>
      </c>
    </row>
    <row r="66" spans="1:58">
      <c r="A66">
        <v>546</v>
      </c>
      <c r="B66" t="s">
        <v>136</v>
      </c>
      <c r="C66" t="s">
        <v>86</v>
      </c>
      <c r="D66" t="s">
        <v>137</v>
      </c>
      <c r="G66" s="23">
        <v>43668</v>
      </c>
      <c r="H66">
        <v>1</v>
      </c>
      <c r="I66">
        <v>978</v>
      </c>
      <c r="J66">
        <v>6</v>
      </c>
      <c r="K66">
        <v>7</v>
      </c>
      <c r="L66">
        <v>6</v>
      </c>
      <c r="M66">
        <v>6</v>
      </c>
      <c r="N66">
        <v>0.59799999999999998</v>
      </c>
      <c r="O66">
        <v>0.69599999999999995</v>
      </c>
      <c r="P66">
        <v>0.59799999999999998</v>
      </c>
      <c r="Q66">
        <v>0.59799999999999998</v>
      </c>
      <c r="R66">
        <v>-122.72251129999999</v>
      </c>
      <c r="S66">
        <v>45.037933299999999</v>
      </c>
      <c r="T66">
        <v>6.25</v>
      </c>
      <c r="U66">
        <v>0.73058829999999997</v>
      </c>
      <c r="V66">
        <v>0</v>
      </c>
      <c r="W66">
        <v>521855.875</v>
      </c>
      <c r="X66">
        <v>4987202</v>
      </c>
      <c r="Y66">
        <v>0</v>
      </c>
      <c r="AA66">
        <v>5</v>
      </c>
      <c r="AB66">
        <v>9.6980000000000005E-4</v>
      </c>
      <c r="AC66">
        <v>0.5</v>
      </c>
      <c r="AD66">
        <v>0</v>
      </c>
      <c r="AE66">
        <v>8</v>
      </c>
      <c r="AF66">
        <v>0.38623370000000001</v>
      </c>
      <c r="AG66">
        <v>0.79400000000000004</v>
      </c>
      <c r="AH66">
        <v>0</v>
      </c>
      <c r="AI66">
        <v>31.052177400000001</v>
      </c>
      <c r="AJ66">
        <v>6.0150000000000004E-4</v>
      </c>
      <c r="AK66">
        <v>0</v>
      </c>
      <c r="AL66">
        <v>0.28510350000000001</v>
      </c>
      <c r="AM66">
        <v>1</v>
      </c>
      <c r="AN66">
        <v>1</v>
      </c>
      <c r="AO66">
        <v>79</v>
      </c>
      <c r="AP66">
        <v>79</v>
      </c>
      <c r="AQ66">
        <v>978</v>
      </c>
      <c r="AR66">
        <v>801</v>
      </c>
      <c r="AS66">
        <v>2025</v>
      </c>
      <c r="AT66" s="23">
        <v>45799</v>
      </c>
      <c r="AU66" s="23" t="s">
        <v>29</v>
      </c>
      <c r="AV66">
        <v>0</v>
      </c>
      <c r="AW66">
        <v>521855.86999999901</v>
      </c>
      <c r="AX66">
        <v>4987202</v>
      </c>
      <c r="AY66">
        <v>1256.63706143591</v>
      </c>
      <c r="AZ66">
        <v>125663.706143591</v>
      </c>
      <c r="BA66">
        <v>7.9580000000000004E-4</v>
      </c>
      <c r="BB66">
        <v>6.8789999999999997E-4</v>
      </c>
      <c r="BC66">
        <v>3.1830999999999999E-3</v>
      </c>
      <c r="BD66">
        <v>-0.2843077</v>
      </c>
      <c r="BE66">
        <v>-0.28441559999999999</v>
      </c>
      <c r="BF66">
        <v>-0.28192040000000002</v>
      </c>
    </row>
    <row r="67" spans="1:58">
      <c r="A67">
        <v>629</v>
      </c>
      <c r="B67" t="s">
        <v>138</v>
      </c>
      <c r="C67" t="s">
        <v>88</v>
      </c>
      <c r="G67" s="23">
        <v>43668</v>
      </c>
      <c r="H67">
        <v>2</v>
      </c>
      <c r="I67">
        <v>1050</v>
      </c>
      <c r="J67">
        <v>7</v>
      </c>
      <c r="K67">
        <v>6</v>
      </c>
      <c r="L67">
        <v>4</v>
      </c>
      <c r="M67">
        <v>8</v>
      </c>
      <c r="N67">
        <v>0.69599999999999995</v>
      </c>
      <c r="O67">
        <v>0.59799999999999998</v>
      </c>
      <c r="P67">
        <v>0.40200000000000002</v>
      </c>
      <c r="Q67">
        <v>0.79400000000000004</v>
      </c>
      <c r="R67">
        <v>-123.1147995</v>
      </c>
      <c r="S67">
        <v>44.5366821</v>
      </c>
      <c r="T67">
        <v>6.25</v>
      </c>
      <c r="U67">
        <v>0.73058829999999997</v>
      </c>
      <c r="V67">
        <v>0.27476339999999999</v>
      </c>
      <c r="W67">
        <v>490879.5625</v>
      </c>
      <c r="X67">
        <v>4931490</v>
      </c>
      <c r="Y67">
        <v>0</v>
      </c>
      <c r="AA67">
        <v>1</v>
      </c>
      <c r="AB67">
        <v>0</v>
      </c>
      <c r="AC67">
        <v>0.108</v>
      </c>
      <c r="AD67">
        <v>0</v>
      </c>
      <c r="AE67">
        <v>5</v>
      </c>
      <c r="AF67">
        <v>6.1225000000000003E-3</v>
      </c>
      <c r="AG67">
        <v>0.5</v>
      </c>
      <c r="AH67">
        <v>0</v>
      </c>
      <c r="AI67">
        <v>31.052177400000001</v>
      </c>
      <c r="AJ67">
        <v>0.25052750000000001</v>
      </c>
      <c r="AK67">
        <v>1</v>
      </c>
      <c r="AL67">
        <v>0.2811053</v>
      </c>
      <c r="AM67">
        <v>1</v>
      </c>
      <c r="AN67">
        <v>1</v>
      </c>
      <c r="AO67">
        <v>53</v>
      </c>
      <c r="AP67">
        <v>53</v>
      </c>
      <c r="AQ67">
        <v>1050</v>
      </c>
      <c r="AR67">
        <v>775</v>
      </c>
      <c r="AS67">
        <v>2025</v>
      </c>
      <c r="AT67" s="23">
        <v>45799</v>
      </c>
      <c r="AU67" s="23" t="s">
        <v>29</v>
      </c>
      <c r="AV67">
        <v>0</v>
      </c>
      <c r="AW67">
        <v>490879.55999999901</v>
      </c>
      <c r="AX67">
        <v>4931490</v>
      </c>
      <c r="AY67">
        <v>1256.63706143591</v>
      </c>
      <c r="AZ67">
        <v>125663.706143591</v>
      </c>
      <c r="BA67">
        <v>0.2807325</v>
      </c>
      <c r="BB67">
        <v>0.30538340000000003</v>
      </c>
      <c r="BC67">
        <v>0.36236610000000002</v>
      </c>
      <c r="BD67">
        <v>-3.7280000000000001E-4</v>
      </c>
      <c r="BE67">
        <v>2.42781E-2</v>
      </c>
      <c r="BF67">
        <v>8.1260700000000005E-2</v>
      </c>
    </row>
    <row r="68" spans="1:58">
      <c r="A68">
        <v>859</v>
      </c>
      <c r="B68" t="s">
        <v>139</v>
      </c>
      <c r="C68" t="s">
        <v>86</v>
      </c>
      <c r="D68" t="s">
        <v>137</v>
      </c>
      <c r="G68" s="23">
        <v>43668</v>
      </c>
      <c r="H68">
        <v>1</v>
      </c>
      <c r="I68">
        <v>1240</v>
      </c>
      <c r="J68">
        <v>7</v>
      </c>
      <c r="K68">
        <v>7</v>
      </c>
      <c r="L68">
        <v>7</v>
      </c>
      <c r="M68">
        <v>8</v>
      </c>
      <c r="N68">
        <v>0.69599999999999995</v>
      </c>
      <c r="O68">
        <v>0.69599999999999995</v>
      </c>
      <c r="P68">
        <v>0.69599999999999995</v>
      </c>
      <c r="Q68">
        <v>0.79400000000000004</v>
      </c>
      <c r="R68">
        <v>-122.9334793</v>
      </c>
      <c r="S68">
        <v>45.242446899999997</v>
      </c>
      <c r="T68">
        <v>7.25</v>
      </c>
      <c r="U68">
        <v>0.84588240000000003</v>
      </c>
      <c r="V68">
        <v>1.4297600000000001E-2</v>
      </c>
      <c r="W68">
        <v>505220.71875</v>
      </c>
      <c r="X68">
        <v>5009886</v>
      </c>
      <c r="Y68">
        <v>0</v>
      </c>
      <c r="AA68">
        <v>5</v>
      </c>
      <c r="AB68">
        <v>3.3443000000000001E-3</v>
      </c>
      <c r="AC68">
        <v>0.5</v>
      </c>
      <c r="AD68">
        <v>0</v>
      </c>
      <c r="AE68">
        <v>7</v>
      </c>
      <c r="AF68">
        <v>0.27244699999999999</v>
      </c>
      <c r="AG68">
        <v>0.69599999999999995</v>
      </c>
      <c r="AH68">
        <v>0</v>
      </c>
      <c r="AI68">
        <v>31.052177400000001</v>
      </c>
      <c r="AJ68">
        <v>0.14137179999999999</v>
      </c>
      <c r="AK68">
        <v>0</v>
      </c>
      <c r="AL68">
        <v>0.56354349999999998</v>
      </c>
      <c r="AM68">
        <v>1</v>
      </c>
      <c r="AN68">
        <v>1</v>
      </c>
      <c r="AO68">
        <v>76</v>
      </c>
      <c r="AP68">
        <v>76</v>
      </c>
      <c r="AQ68">
        <v>1240</v>
      </c>
      <c r="AR68">
        <v>798</v>
      </c>
      <c r="AS68">
        <v>2025</v>
      </c>
      <c r="AT68" s="23">
        <v>45799</v>
      </c>
      <c r="AU68" s="23" t="s">
        <v>29</v>
      </c>
      <c r="AV68">
        <v>0</v>
      </c>
      <c r="AW68">
        <v>505220.71</v>
      </c>
      <c r="AX68">
        <v>5009886</v>
      </c>
      <c r="AY68">
        <v>1256.63706143591</v>
      </c>
      <c r="AZ68">
        <v>125663.706143591</v>
      </c>
      <c r="BA68">
        <v>1.5915E-3</v>
      </c>
      <c r="BB68">
        <v>0.59262000000000004</v>
      </c>
      <c r="BC68">
        <v>7.9580000000000004E-4</v>
      </c>
      <c r="BD68">
        <v>-0.56195189999999995</v>
      </c>
      <c r="BE68">
        <v>2.9076500000000002E-2</v>
      </c>
      <c r="BF68">
        <v>-0.56274769999999996</v>
      </c>
    </row>
    <row r="69" spans="1:58">
      <c r="A69">
        <v>1033</v>
      </c>
      <c r="B69" t="s">
        <v>140</v>
      </c>
      <c r="C69" t="s">
        <v>88</v>
      </c>
      <c r="G69" s="23">
        <v>43668</v>
      </c>
      <c r="H69">
        <v>2</v>
      </c>
      <c r="I69">
        <v>1382</v>
      </c>
      <c r="J69">
        <v>4</v>
      </c>
      <c r="K69">
        <v>8</v>
      </c>
      <c r="L69">
        <v>5</v>
      </c>
      <c r="M69">
        <v>8</v>
      </c>
      <c r="N69">
        <v>0.40200000000000002</v>
      </c>
      <c r="O69">
        <v>0.79400000000000004</v>
      </c>
      <c r="P69">
        <v>0.5</v>
      </c>
      <c r="Q69">
        <v>0.79400000000000004</v>
      </c>
      <c r="R69">
        <v>-123.0408249</v>
      </c>
      <c r="S69">
        <v>44.519340499999998</v>
      </c>
      <c r="T69">
        <v>6.25</v>
      </c>
      <c r="U69">
        <v>0.73058829999999997</v>
      </c>
      <c r="V69">
        <v>0.2793253</v>
      </c>
      <c r="W69">
        <v>496755.625</v>
      </c>
      <c r="X69">
        <v>4929558.5</v>
      </c>
      <c r="Y69">
        <v>0</v>
      </c>
      <c r="AA69">
        <v>8</v>
      </c>
      <c r="AB69">
        <v>0.21539340000000001</v>
      </c>
      <c r="AC69">
        <v>0.79400000000000004</v>
      </c>
      <c r="AD69">
        <v>0</v>
      </c>
      <c r="AE69">
        <v>4</v>
      </c>
      <c r="AF69">
        <v>0</v>
      </c>
      <c r="AG69">
        <v>0.40200000000000002</v>
      </c>
      <c r="AH69">
        <v>0</v>
      </c>
      <c r="AI69">
        <v>31.052177400000001</v>
      </c>
      <c r="AJ69">
        <v>0.31005199999999999</v>
      </c>
      <c r="AK69">
        <v>1</v>
      </c>
      <c r="AL69">
        <v>0.22509370000000001</v>
      </c>
      <c r="AM69">
        <v>1</v>
      </c>
      <c r="AN69">
        <v>1</v>
      </c>
      <c r="AO69">
        <v>48</v>
      </c>
      <c r="AP69">
        <v>48</v>
      </c>
      <c r="AQ69">
        <v>1382</v>
      </c>
      <c r="AR69">
        <v>770</v>
      </c>
      <c r="AS69">
        <v>2025</v>
      </c>
      <c r="AT69" s="23">
        <v>45799</v>
      </c>
      <c r="AU69" s="23" t="s">
        <v>29</v>
      </c>
      <c r="AV69">
        <v>2</v>
      </c>
      <c r="AW69">
        <v>496755.61999999901</v>
      </c>
      <c r="AX69">
        <v>4929558.5</v>
      </c>
      <c r="AY69">
        <v>1256.63706143591</v>
      </c>
      <c r="AZ69">
        <v>125663.706143591</v>
      </c>
      <c r="BA69">
        <v>1.5915E-3</v>
      </c>
      <c r="BB69">
        <v>9.7896000000000007E-3</v>
      </c>
      <c r="BC69">
        <v>0.33952529999999997</v>
      </c>
      <c r="BD69">
        <v>-0.22350220000000001</v>
      </c>
      <c r="BE69">
        <v>-0.2153041</v>
      </c>
      <c r="BF69">
        <v>0.11443150000000001</v>
      </c>
    </row>
    <row r="70" spans="1:58">
      <c r="A70">
        <v>1126</v>
      </c>
      <c r="B70" t="s">
        <v>141</v>
      </c>
      <c r="C70" t="s">
        <v>86</v>
      </c>
      <c r="D70" t="s">
        <v>137</v>
      </c>
      <c r="G70" s="23">
        <v>43668</v>
      </c>
      <c r="H70">
        <v>1</v>
      </c>
      <c r="I70">
        <v>1461</v>
      </c>
      <c r="J70">
        <v>7</v>
      </c>
      <c r="K70">
        <v>5</v>
      </c>
      <c r="L70">
        <v>5</v>
      </c>
      <c r="M70">
        <v>5</v>
      </c>
      <c r="N70">
        <v>0.69599999999999995</v>
      </c>
      <c r="O70">
        <v>0.5</v>
      </c>
      <c r="P70">
        <v>0.5</v>
      </c>
      <c r="Q70">
        <v>0.5</v>
      </c>
      <c r="R70">
        <v>-122.94760890000001</v>
      </c>
      <c r="S70">
        <v>45.262920399999999</v>
      </c>
      <c r="T70">
        <v>5.5</v>
      </c>
      <c r="U70">
        <v>0.64411770000000002</v>
      </c>
      <c r="V70">
        <v>0</v>
      </c>
      <c r="W70">
        <v>504110.0625</v>
      </c>
      <c r="X70">
        <v>5012159.5</v>
      </c>
      <c r="Y70">
        <v>0</v>
      </c>
      <c r="AA70">
        <v>8</v>
      </c>
      <c r="AB70">
        <v>0.1477185</v>
      </c>
      <c r="AC70">
        <v>0.79400000000000004</v>
      </c>
      <c r="AD70">
        <v>0</v>
      </c>
      <c r="AE70">
        <v>5</v>
      </c>
      <c r="AF70">
        <v>0</v>
      </c>
      <c r="AG70">
        <v>0.5</v>
      </c>
      <c r="AH70">
        <v>0</v>
      </c>
      <c r="AI70">
        <v>31.052177400000001</v>
      </c>
      <c r="AJ70">
        <v>0.28987679999999999</v>
      </c>
      <c r="AK70">
        <v>0</v>
      </c>
      <c r="AL70">
        <v>0.93972290000000003</v>
      </c>
      <c r="AM70">
        <v>1</v>
      </c>
      <c r="AN70">
        <v>1</v>
      </c>
      <c r="AO70">
        <v>77</v>
      </c>
      <c r="AP70">
        <v>77</v>
      </c>
      <c r="AQ70">
        <v>1461</v>
      </c>
      <c r="AR70">
        <v>799</v>
      </c>
      <c r="AS70">
        <v>2025</v>
      </c>
      <c r="AT70" s="23">
        <v>45799</v>
      </c>
      <c r="AU70" s="23" t="s">
        <v>29</v>
      </c>
      <c r="AV70">
        <v>0</v>
      </c>
      <c r="AW70">
        <v>504110.05999999901</v>
      </c>
      <c r="AX70">
        <v>5012159.5</v>
      </c>
      <c r="AY70">
        <v>1256.63706143591</v>
      </c>
      <c r="AZ70">
        <v>125663.706143591</v>
      </c>
      <c r="BA70">
        <v>0.95278459999999998</v>
      </c>
      <c r="BB70">
        <v>0.44466090000000003</v>
      </c>
      <c r="BC70">
        <v>7.9580000000000004E-4</v>
      </c>
      <c r="BD70">
        <v>1.3061700000000001E-2</v>
      </c>
      <c r="BE70">
        <v>-0.495062</v>
      </c>
      <c r="BF70">
        <v>-0.93892710000000001</v>
      </c>
    </row>
    <row r="71" spans="1:58">
      <c r="A71">
        <v>1498</v>
      </c>
      <c r="B71" t="s">
        <v>142</v>
      </c>
      <c r="C71" t="s">
        <v>86</v>
      </c>
      <c r="D71" t="s">
        <v>137</v>
      </c>
      <c r="G71" s="23">
        <v>43668</v>
      </c>
      <c r="H71">
        <v>1</v>
      </c>
      <c r="I71">
        <v>1778</v>
      </c>
      <c r="J71">
        <v>6</v>
      </c>
      <c r="K71">
        <v>8</v>
      </c>
      <c r="L71">
        <v>8</v>
      </c>
      <c r="M71">
        <v>8</v>
      </c>
      <c r="N71">
        <v>0.59799999999999998</v>
      </c>
      <c r="O71">
        <v>0.79400000000000004</v>
      </c>
      <c r="P71">
        <v>0.79400000000000004</v>
      </c>
      <c r="Q71">
        <v>0.79400000000000004</v>
      </c>
      <c r="R71">
        <v>-122.94671630000001</v>
      </c>
      <c r="S71">
        <v>45.113670300000003</v>
      </c>
      <c r="T71">
        <v>7.5</v>
      </c>
      <c r="U71">
        <v>0.87470590000000004</v>
      </c>
      <c r="V71">
        <v>0.31094729999999998</v>
      </c>
      <c r="W71">
        <v>504191.4375</v>
      </c>
      <c r="X71">
        <v>4995579.5</v>
      </c>
      <c r="Y71">
        <v>0</v>
      </c>
      <c r="AA71">
        <v>8</v>
      </c>
      <c r="AB71">
        <v>0.240337</v>
      </c>
      <c r="AC71">
        <v>0.79400000000000004</v>
      </c>
      <c r="AD71">
        <v>0</v>
      </c>
      <c r="AE71">
        <v>8</v>
      </c>
      <c r="AF71">
        <v>0.299016</v>
      </c>
      <c r="AG71">
        <v>0.79400000000000004</v>
      </c>
      <c r="AH71">
        <v>0</v>
      </c>
      <c r="AI71">
        <v>31.052177400000001</v>
      </c>
      <c r="AJ71">
        <v>0.27752130000000003</v>
      </c>
      <c r="AK71">
        <v>0</v>
      </c>
      <c r="AL71">
        <v>0.87039739999999999</v>
      </c>
      <c r="AM71">
        <v>1</v>
      </c>
      <c r="AN71">
        <v>1</v>
      </c>
      <c r="AO71">
        <v>74</v>
      </c>
      <c r="AP71">
        <v>74</v>
      </c>
      <c r="AQ71">
        <v>1778</v>
      </c>
      <c r="AR71">
        <v>796</v>
      </c>
      <c r="AS71">
        <v>2025</v>
      </c>
      <c r="AT71" s="23">
        <v>45799</v>
      </c>
      <c r="AU71" s="23" t="s">
        <v>29</v>
      </c>
      <c r="AV71">
        <v>0</v>
      </c>
      <c r="AW71">
        <v>504191.429999999</v>
      </c>
      <c r="AX71">
        <v>4995579.5</v>
      </c>
      <c r="AY71">
        <v>1256.63706143591</v>
      </c>
      <c r="AZ71">
        <v>125663.706143591</v>
      </c>
      <c r="BA71">
        <v>7.9580000000000004E-4</v>
      </c>
      <c r="BB71">
        <v>7.9580000000000004E-4</v>
      </c>
      <c r="BC71">
        <v>0.13469890000000001</v>
      </c>
      <c r="BD71">
        <v>-0.86960159999999997</v>
      </c>
      <c r="BE71">
        <v>-0.86960159999999997</v>
      </c>
      <c r="BF71">
        <v>-0.73569850000000003</v>
      </c>
    </row>
    <row r="72" spans="1:58">
      <c r="A72">
        <v>1824</v>
      </c>
      <c r="B72" t="s">
        <v>143</v>
      </c>
      <c r="C72" t="s">
        <v>119</v>
      </c>
      <c r="G72" s="23">
        <v>43668</v>
      </c>
      <c r="H72">
        <v>2</v>
      </c>
      <c r="I72">
        <v>2036</v>
      </c>
      <c r="J72">
        <v>8</v>
      </c>
      <c r="K72">
        <v>8</v>
      </c>
      <c r="L72">
        <v>7</v>
      </c>
      <c r="M72">
        <v>7</v>
      </c>
      <c r="N72">
        <v>0.79400000000000004</v>
      </c>
      <c r="O72">
        <v>0.79400000000000004</v>
      </c>
      <c r="P72">
        <v>0.69599999999999995</v>
      </c>
      <c r="Q72">
        <v>0.69599999999999995</v>
      </c>
      <c r="R72">
        <v>-123.0814056</v>
      </c>
      <c r="S72">
        <v>44.519401600000002</v>
      </c>
      <c r="T72">
        <v>7.5</v>
      </c>
      <c r="U72">
        <v>0.87470590000000004</v>
      </c>
      <c r="V72">
        <v>9.7806199999999996E-2</v>
      </c>
      <c r="W72">
        <v>493530.71875</v>
      </c>
      <c r="X72">
        <v>4929567.5</v>
      </c>
      <c r="Y72">
        <v>1</v>
      </c>
      <c r="Z72">
        <v>0</v>
      </c>
      <c r="AA72">
        <v>5</v>
      </c>
      <c r="AB72">
        <v>0</v>
      </c>
      <c r="AC72">
        <v>0.5</v>
      </c>
      <c r="AD72">
        <v>0</v>
      </c>
      <c r="AE72">
        <v>6</v>
      </c>
      <c r="AF72">
        <v>2.7122000000000001E-3</v>
      </c>
      <c r="AG72">
        <v>0.59799999999999998</v>
      </c>
      <c r="AH72">
        <v>0</v>
      </c>
      <c r="AI72">
        <v>31.052177400000001</v>
      </c>
      <c r="AJ72">
        <v>1E-4</v>
      </c>
      <c r="AK72">
        <v>0</v>
      </c>
      <c r="AL72">
        <v>0.24972929999999999</v>
      </c>
      <c r="AM72">
        <v>1</v>
      </c>
      <c r="AN72">
        <v>1</v>
      </c>
      <c r="AO72">
        <v>51</v>
      </c>
      <c r="AP72">
        <v>51</v>
      </c>
      <c r="AQ72">
        <v>2036</v>
      </c>
      <c r="AR72">
        <v>773</v>
      </c>
      <c r="AS72">
        <v>2025</v>
      </c>
      <c r="AT72" s="23">
        <v>45799</v>
      </c>
      <c r="AU72" s="23" t="s">
        <v>29</v>
      </c>
      <c r="AV72">
        <v>0</v>
      </c>
      <c r="AW72">
        <v>493530.71</v>
      </c>
      <c r="AX72">
        <v>4929567.5</v>
      </c>
      <c r="AY72">
        <v>1256.63706143591</v>
      </c>
      <c r="AZ72">
        <v>125663.706143591</v>
      </c>
      <c r="BA72">
        <v>7.9580000000000004E-4</v>
      </c>
      <c r="BB72">
        <v>7.9580000000000004E-4</v>
      </c>
      <c r="BC72">
        <v>7.9580000000000004E-4</v>
      </c>
      <c r="BD72">
        <v>-0.2489335</v>
      </c>
      <c r="BE72">
        <v>-0.2489335</v>
      </c>
      <c r="BF72">
        <v>-0.2489335</v>
      </c>
    </row>
    <row r="73" spans="1:58">
      <c r="A73">
        <v>2355</v>
      </c>
      <c r="B73" t="s">
        <v>143</v>
      </c>
      <c r="C73" t="s">
        <v>119</v>
      </c>
      <c r="G73" s="23">
        <v>43668</v>
      </c>
      <c r="H73">
        <v>2</v>
      </c>
      <c r="I73">
        <v>2490</v>
      </c>
      <c r="J73">
        <v>5</v>
      </c>
      <c r="K73">
        <v>7</v>
      </c>
      <c r="L73">
        <v>7</v>
      </c>
      <c r="M73">
        <v>7</v>
      </c>
      <c r="N73">
        <v>0.5</v>
      </c>
      <c r="O73">
        <v>0.69599999999999995</v>
      </c>
      <c r="P73">
        <v>0.69599999999999995</v>
      </c>
      <c r="Q73">
        <v>0.69599999999999995</v>
      </c>
      <c r="R73">
        <v>-123.094162</v>
      </c>
      <c r="S73">
        <v>44.522270200000001</v>
      </c>
      <c r="T73">
        <v>6.5</v>
      </c>
      <c r="U73">
        <v>0.75941179999999997</v>
      </c>
      <c r="V73">
        <v>5.6073E-3</v>
      </c>
      <c r="W73">
        <v>492517.125</v>
      </c>
      <c r="X73">
        <v>4929887.5</v>
      </c>
      <c r="Y73">
        <v>0</v>
      </c>
      <c r="AA73">
        <v>10</v>
      </c>
      <c r="AB73">
        <v>0.41160099999999999</v>
      </c>
      <c r="AC73">
        <v>0.99</v>
      </c>
      <c r="AD73">
        <v>0</v>
      </c>
      <c r="AE73">
        <v>4</v>
      </c>
      <c r="AF73">
        <v>0</v>
      </c>
      <c r="AG73">
        <v>0.40200000000000002</v>
      </c>
      <c r="AH73">
        <v>0</v>
      </c>
      <c r="AI73">
        <v>31.052177400000001</v>
      </c>
      <c r="AJ73">
        <v>1E-4</v>
      </c>
      <c r="AK73">
        <v>0</v>
      </c>
      <c r="AL73">
        <v>0.1743064</v>
      </c>
      <c r="AM73">
        <v>1</v>
      </c>
      <c r="AN73">
        <v>1</v>
      </c>
      <c r="AO73">
        <v>50</v>
      </c>
      <c r="AP73">
        <v>50</v>
      </c>
      <c r="AQ73">
        <v>2490</v>
      </c>
      <c r="AR73">
        <v>772</v>
      </c>
      <c r="AS73">
        <v>2025</v>
      </c>
      <c r="AT73" s="23">
        <v>45799</v>
      </c>
      <c r="AU73" s="23" t="s">
        <v>29</v>
      </c>
      <c r="AV73">
        <v>0</v>
      </c>
      <c r="AW73">
        <v>492517.11999999901</v>
      </c>
      <c r="AX73">
        <v>4929887.5</v>
      </c>
      <c r="AY73">
        <v>1256.63706143591</v>
      </c>
      <c r="AZ73">
        <v>125663.706143591</v>
      </c>
      <c r="BA73">
        <v>0.34223690000000001</v>
      </c>
      <c r="BB73">
        <v>0.70884780000000003</v>
      </c>
      <c r="BC73">
        <v>0.70805010000000002</v>
      </c>
      <c r="BD73">
        <v>0.16793050000000001</v>
      </c>
      <c r="BE73">
        <v>0.53454140000000006</v>
      </c>
      <c r="BF73">
        <v>0.53374370000000004</v>
      </c>
    </row>
    <row r="74" spans="1:58">
      <c r="A74">
        <v>4620</v>
      </c>
      <c r="B74" t="s">
        <v>144</v>
      </c>
      <c r="C74" t="s">
        <v>88</v>
      </c>
      <c r="D74" t="s">
        <v>93</v>
      </c>
      <c r="G74" s="23">
        <v>43668</v>
      </c>
      <c r="H74">
        <v>1</v>
      </c>
      <c r="I74">
        <v>4224</v>
      </c>
      <c r="J74">
        <v>6</v>
      </c>
      <c r="K74">
        <v>5</v>
      </c>
      <c r="L74">
        <v>6</v>
      </c>
      <c r="M74">
        <v>6</v>
      </c>
      <c r="N74">
        <v>0.59799999999999998</v>
      </c>
      <c r="O74">
        <v>0.5</v>
      </c>
      <c r="P74">
        <v>0.59799999999999998</v>
      </c>
      <c r="Q74">
        <v>0.59799999999999998</v>
      </c>
      <c r="R74">
        <v>-123.0030136</v>
      </c>
      <c r="S74">
        <v>44.8099785</v>
      </c>
      <c r="T74">
        <v>5.75</v>
      </c>
      <c r="U74">
        <v>0.67294109999999996</v>
      </c>
      <c r="V74">
        <v>0</v>
      </c>
      <c r="W74">
        <v>499761.9375</v>
      </c>
      <c r="X74">
        <v>4961842</v>
      </c>
      <c r="Y74">
        <v>0</v>
      </c>
      <c r="AA74">
        <v>5</v>
      </c>
      <c r="AB74">
        <v>5.4830000000000005E-4</v>
      </c>
      <c r="AC74">
        <v>0.5</v>
      </c>
      <c r="AD74">
        <v>0</v>
      </c>
      <c r="AE74">
        <v>6</v>
      </c>
      <c r="AF74">
        <v>2.9407000000000001E-3</v>
      </c>
      <c r="AG74">
        <v>0.59799999999999998</v>
      </c>
      <c r="AH74">
        <v>0</v>
      </c>
      <c r="AI74">
        <v>31.052177400000001</v>
      </c>
      <c r="AJ74">
        <v>7.9580000000000004E-4</v>
      </c>
      <c r="AK74">
        <v>0</v>
      </c>
      <c r="AL74">
        <v>1E-3</v>
      </c>
      <c r="AM74">
        <v>0</v>
      </c>
      <c r="AN74">
        <v>1</v>
      </c>
      <c r="AO74">
        <v>75</v>
      </c>
      <c r="AP74">
        <v>75</v>
      </c>
      <c r="AQ74">
        <v>4224</v>
      </c>
      <c r="AR74">
        <v>797</v>
      </c>
      <c r="AS74">
        <v>2025</v>
      </c>
      <c r="AT74" s="23">
        <v>45799</v>
      </c>
      <c r="AU74" s="23" t="s">
        <v>29</v>
      </c>
      <c r="AV74">
        <v>0</v>
      </c>
      <c r="AW74">
        <v>499761.929999999</v>
      </c>
      <c r="AX74">
        <v>4961842</v>
      </c>
      <c r="AY74">
        <v>1256.63706143591</v>
      </c>
      <c r="AZ74">
        <v>125663.706143591</v>
      </c>
      <c r="BA74">
        <v>1.5915E-3</v>
      </c>
      <c r="BB74">
        <v>7.2590000000000003E-4</v>
      </c>
      <c r="BC74">
        <v>7.2610000000000003E-4</v>
      </c>
      <c r="BD74">
        <v>5.9150000000000001E-4</v>
      </c>
      <c r="BE74">
        <v>-2.7409999999999999E-4</v>
      </c>
      <c r="BF74">
        <v>-2.7389999999999999E-4</v>
      </c>
    </row>
    <row r="75" spans="1:58">
      <c r="A75">
        <v>4669</v>
      </c>
      <c r="B75" t="s">
        <v>145</v>
      </c>
      <c r="C75" t="s">
        <v>146</v>
      </c>
      <c r="D75" t="s">
        <v>137</v>
      </c>
      <c r="G75" s="23">
        <v>43668</v>
      </c>
      <c r="H75">
        <v>1</v>
      </c>
      <c r="I75">
        <v>4258</v>
      </c>
      <c r="J75">
        <v>6</v>
      </c>
      <c r="K75">
        <v>7</v>
      </c>
      <c r="L75">
        <v>6</v>
      </c>
      <c r="M75">
        <v>8</v>
      </c>
      <c r="N75">
        <v>0.59799999999999998</v>
      </c>
      <c r="O75">
        <v>0.69599999999999995</v>
      </c>
      <c r="P75">
        <v>0.59799999999999998</v>
      </c>
      <c r="Q75">
        <v>0.79400000000000004</v>
      </c>
      <c r="R75">
        <v>-122.9557648</v>
      </c>
      <c r="S75">
        <v>45.035766600000002</v>
      </c>
      <c r="T75">
        <v>6.75</v>
      </c>
      <c r="U75">
        <v>0.78823529999999997</v>
      </c>
      <c r="V75">
        <v>3.1479600000000003E-2</v>
      </c>
      <c r="W75">
        <v>503484.5</v>
      </c>
      <c r="X75">
        <v>4986924.5</v>
      </c>
      <c r="Y75">
        <v>0</v>
      </c>
      <c r="AA75">
        <v>5</v>
      </c>
      <c r="AB75">
        <v>0</v>
      </c>
      <c r="AC75">
        <v>0.5</v>
      </c>
      <c r="AD75">
        <v>0</v>
      </c>
      <c r="AE75">
        <v>7</v>
      </c>
      <c r="AF75">
        <v>0.1158288</v>
      </c>
      <c r="AG75">
        <v>0.69599999999999995</v>
      </c>
      <c r="AH75">
        <v>0</v>
      </c>
      <c r="AI75">
        <v>31.052177400000001</v>
      </c>
      <c r="AJ75">
        <v>2.0409900000000002E-2</v>
      </c>
      <c r="AK75">
        <v>0</v>
      </c>
      <c r="AL75">
        <v>0.38758229999999999</v>
      </c>
      <c r="AM75">
        <v>1</v>
      </c>
      <c r="AN75">
        <v>1</v>
      </c>
      <c r="AO75">
        <v>80</v>
      </c>
      <c r="AP75">
        <v>80</v>
      </c>
      <c r="AQ75">
        <v>4258</v>
      </c>
      <c r="AR75">
        <v>802</v>
      </c>
      <c r="AS75">
        <v>2025</v>
      </c>
      <c r="AT75" s="23">
        <v>45799</v>
      </c>
      <c r="AU75" s="23" t="s">
        <v>29</v>
      </c>
      <c r="AV75">
        <v>0</v>
      </c>
      <c r="AW75">
        <v>503484.5</v>
      </c>
      <c r="AX75">
        <v>4986924.5</v>
      </c>
      <c r="AY75">
        <v>1256.63706143591</v>
      </c>
      <c r="AZ75">
        <v>125663.706143591</v>
      </c>
      <c r="BA75">
        <v>7.9580000000000004E-4</v>
      </c>
      <c r="BB75">
        <v>7.9580000000000004E-4</v>
      </c>
      <c r="BC75">
        <v>1.5915E-3</v>
      </c>
      <c r="BD75">
        <v>-0.38678659999999998</v>
      </c>
      <c r="BE75">
        <v>-0.38678659999999998</v>
      </c>
      <c r="BF75">
        <v>-0.38599080000000002</v>
      </c>
    </row>
    <row r="76" spans="1:58">
      <c r="A76">
        <v>4990</v>
      </c>
      <c r="B76" t="s">
        <v>147</v>
      </c>
      <c r="C76" t="s">
        <v>86</v>
      </c>
      <c r="D76" t="s">
        <v>148</v>
      </c>
      <c r="G76" s="23">
        <v>43668</v>
      </c>
      <c r="H76">
        <v>1</v>
      </c>
      <c r="I76">
        <v>4497</v>
      </c>
      <c r="J76">
        <v>6</v>
      </c>
      <c r="K76">
        <v>7</v>
      </c>
      <c r="L76">
        <v>6</v>
      </c>
      <c r="M76">
        <v>6</v>
      </c>
      <c r="N76">
        <v>0.59799999999999998</v>
      </c>
      <c r="O76">
        <v>0.69599999999999995</v>
      </c>
      <c r="P76">
        <v>0.59799999999999998</v>
      </c>
      <c r="Q76">
        <v>0.59799999999999998</v>
      </c>
      <c r="R76">
        <v>-123.0508423</v>
      </c>
      <c r="S76">
        <v>45.034080500000002</v>
      </c>
      <c r="T76">
        <v>6.25</v>
      </c>
      <c r="U76">
        <v>0.73058829999999997</v>
      </c>
      <c r="V76">
        <v>0</v>
      </c>
      <c r="W76">
        <v>495995.0625</v>
      </c>
      <c r="X76">
        <v>4986737.5</v>
      </c>
      <c r="Y76">
        <v>0</v>
      </c>
      <c r="AA76">
        <v>7</v>
      </c>
      <c r="AB76">
        <v>0.1500948</v>
      </c>
      <c r="AC76">
        <v>0.69599999999999995</v>
      </c>
      <c r="AD76">
        <v>0</v>
      </c>
      <c r="AE76">
        <v>8</v>
      </c>
      <c r="AF76">
        <v>0.21191579999999999</v>
      </c>
      <c r="AG76">
        <v>0.79400000000000004</v>
      </c>
      <c r="AH76">
        <v>0</v>
      </c>
      <c r="AI76">
        <v>31.052177400000001</v>
      </c>
      <c r="AJ76">
        <v>0.2245885</v>
      </c>
      <c r="AK76">
        <v>0</v>
      </c>
      <c r="AL76">
        <v>0.30074810000000002</v>
      </c>
      <c r="AM76">
        <v>1</v>
      </c>
      <c r="AN76">
        <v>1</v>
      </c>
      <c r="AO76">
        <v>81</v>
      </c>
      <c r="AP76">
        <v>81</v>
      </c>
      <c r="AQ76">
        <v>4497</v>
      </c>
      <c r="AR76">
        <v>803</v>
      </c>
      <c r="AS76">
        <v>2025</v>
      </c>
      <c r="AT76" s="23">
        <v>45799</v>
      </c>
      <c r="AU76" s="23" t="s">
        <v>29</v>
      </c>
      <c r="AV76">
        <v>0</v>
      </c>
      <c r="AW76">
        <v>495995.05999999901</v>
      </c>
      <c r="AX76">
        <v>4986737.5</v>
      </c>
      <c r="AY76">
        <v>1256.63706143591</v>
      </c>
      <c r="AZ76">
        <v>125663.706143591</v>
      </c>
      <c r="BA76">
        <v>0.32863320000000001</v>
      </c>
      <c r="BB76">
        <v>0.31395299999999998</v>
      </c>
      <c r="BC76">
        <v>1.16469E-2</v>
      </c>
      <c r="BD76">
        <v>2.7885E-2</v>
      </c>
      <c r="BE76">
        <v>1.3204799999999999E-2</v>
      </c>
      <c r="BF76">
        <v>-0.2891012</v>
      </c>
    </row>
    <row r="77" spans="1:58">
      <c r="A77">
        <v>6103</v>
      </c>
      <c r="B77" t="s">
        <v>149</v>
      </c>
      <c r="C77" t="s">
        <v>88</v>
      </c>
      <c r="G77" s="23">
        <v>43668</v>
      </c>
      <c r="H77">
        <v>2</v>
      </c>
      <c r="I77">
        <v>5315</v>
      </c>
      <c r="J77">
        <v>6</v>
      </c>
      <c r="K77">
        <v>8</v>
      </c>
      <c r="L77">
        <v>6</v>
      </c>
      <c r="M77">
        <v>8</v>
      </c>
      <c r="N77">
        <v>0.59799999999999998</v>
      </c>
      <c r="O77">
        <v>0.79400000000000004</v>
      </c>
      <c r="P77">
        <v>0.59799999999999998</v>
      </c>
      <c r="Q77">
        <v>0.79400000000000004</v>
      </c>
      <c r="R77">
        <v>-123.16271209999999</v>
      </c>
      <c r="S77">
        <v>44.526752500000001</v>
      </c>
      <c r="T77">
        <v>7</v>
      </c>
      <c r="U77">
        <v>0.81705879999999997</v>
      </c>
      <c r="V77">
        <v>2.45089E-2</v>
      </c>
      <c r="W77">
        <v>487070.59375</v>
      </c>
      <c r="X77">
        <v>4930393.5</v>
      </c>
      <c r="Y77">
        <v>1</v>
      </c>
      <c r="Z77">
        <v>1</v>
      </c>
      <c r="AA77">
        <v>4</v>
      </c>
      <c r="AB77">
        <v>0</v>
      </c>
      <c r="AC77">
        <v>0.40200000000000002</v>
      </c>
      <c r="AD77">
        <v>0</v>
      </c>
      <c r="AE77">
        <v>8</v>
      </c>
      <c r="AF77">
        <v>0.34013369999999998</v>
      </c>
      <c r="AG77">
        <v>0.79400000000000004</v>
      </c>
      <c r="AH77">
        <v>0</v>
      </c>
      <c r="AI77">
        <v>31.052177400000001</v>
      </c>
      <c r="AJ77">
        <v>1E-4</v>
      </c>
      <c r="AK77">
        <v>0</v>
      </c>
      <c r="AL77">
        <v>0.16433619999999999</v>
      </c>
      <c r="AM77">
        <v>1</v>
      </c>
      <c r="AN77">
        <v>1</v>
      </c>
      <c r="AO77">
        <v>56</v>
      </c>
      <c r="AP77">
        <v>56</v>
      </c>
      <c r="AQ77">
        <v>5315</v>
      </c>
      <c r="AR77">
        <v>778</v>
      </c>
      <c r="AS77">
        <v>2025</v>
      </c>
      <c r="AT77" s="23">
        <v>45799</v>
      </c>
      <c r="AU77" s="23" t="s">
        <v>29</v>
      </c>
      <c r="AV77">
        <v>0</v>
      </c>
      <c r="AW77">
        <v>487070.59</v>
      </c>
      <c r="AX77">
        <v>4930393.5</v>
      </c>
      <c r="AY77">
        <v>1256.63706143591</v>
      </c>
      <c r="AZ77">
        <v>125663.706143591</v>
      </c>
      <c r="BA77">
        <v>1.5915E-3</v>
      </c>
      <c r="BB77">
        <v>2.2281100000000002E-2</v>
      </c>
      <c r="BC77">
        <v>1.5915E-3</v>
      </c>
      <c r="BD77">
        <v>-0.16274469999999999</v>
      </c>
      <c r="BE77">
        <v>-0.14205509999999999</v>
      </c>
      <c r="BF77">
        <v>-0.16274469999999999</v>
      </c>
    </row>
    <row r="78" spans="1:58">
      <c r="A78">
        <v>6132</v>
      </c>
      <c r="B78" t="s">
        <v>138</v>
      </c>
      <c r="C78" t="s">
        <v>88</v>
      </c>
      <c r="G78" s="23">
        <v>43668</v>
      </c>
      <c r="H78">
        <v>2</v>
      </c>
      <c r="I78">
        <v>5328</v>
      </c>
      <c r="J78">
        <v>7</v>
      </c>
      <c r="K78">
        <v>6</v>
      </c>
      <c r="L78">
        <v>3</v>
      </c>
      <c r="M78">
        <v>5</v>
      </c>
      <c r="N78">
        <v>0.69599999999999995</v>
      </c>
      <c r="O78">
        <v>0.59799999999999998</v>
      </c>
      <c r="P78">
        <v>0.30399999999999999</v>
      </c>
      <c r="Q78">
        <v>0.5</v>
      </c>
      <c r="R78">
        <v>-123.1189651</v>
      </c>
      <c r="S78">
        <v>44.533161200000002</v>
      </c>
      <c r="T78">
        <v>5.25</v>
      </c>
      <c r="U78">
        <v>0.61529409999999995</v>
      </c>
      <c r="V78">
        <v>0</v>
      </c>
      <c r="W78">
        <v>490548.0625</v>
      </c>
      <c r="X78">
        <v>4931099.5</v>
      </c>
      <c r="Y78">
        <v>0</v>
      </c>
      <c r="AA78">
        <v>3</v>
      </c>
      <c r="AB78">
        <v>0</v>
      </c>
      <c r="AC78">
        <v>0.30399999999999999</v>
      </c>
      <c r="AD78">
        <v>0</v>
      </c>
      <c r="AE78">
        <v>5</v>
      </c>
      <c r="AF78">
        <v>5.4940000000000002E-4</v>
      </c>
      <c r="AG78">
        <v>0.5</v>
      </c>
      <c r="AH78">
        <v>0</v>
      </c>
      <c r="AI78">
        <v>31.052177400000001</v>
      </c>
      <c r="AJ78">
        <v>0.23805290000000001</v>
      </c>
      <c r="AK78">
        <v>1</v>
      </c>
      <c r="AL78">
        <v>0.2474384</v>
      </c>
      <c r="AM78">
        <v>1</v>
      </c>
      <c r="AN78">
        <v>1</v>
      </c>
      <c r="AO78">
        <v>52</v>
      </c>
      <c r="AP78">
        <v>52</v>
      </c>
      <c r="AQ78">
        <v>5328</v>
      </c>
      <c r="AR78">
        <v>774</v>
      </c>
      <c r="AS78">
        <v>2025</v>
      </c>
      <c r="AT78" s="23">
        <v>45799</v>
      </c>
      <c r="AU78" s="23" t="s">
        <v>29</v>
      </c>
      <c r="AV78">
        <v>0</v>
      </c>
      <c r="AW78">
        <v>490548.05999999901</v>
      </c>
      <c r="AX78">
        <v>4931099.5</v>
      </c>
      <c r="AY78">
        <v>1256.63706143591</v>
      </c>
      <c r="AZ78">
        <v>125663.706143591</v>
      </c>
      <c r="BA78">
        <v>0.22180269999999999</v>
      </c>
      <c r="BB78">
        <v>0.25090800000000002</v>
      </c>
      <c r="BC78">
        <v>0.2632467</v>
      </c>
      <c r="BD78">
        <v>-2.56358E-2</v>
      </c>
      <c r="BE78">
        <v>3.4694999999999999E-3</v>
      </c>
      <c r="BF78">
        <v>1.5808200000000001E-2</v>
      </c>
    </row>
    <row r="79" spans="1:58">
      <c r="A79">
        <v>6652</v>
      </c>
      <c r="B79" t="s">
        <v>150</v>
      </c>
      <c r="C79" t="s">
        <v>86</v>
      </c>
      <c r="G79" s="23">
        <v>43668</v>
      </c>
      <c r="H79">
        <v>2</v>
      </c>
      <c r="I79">
        <v>5691</v>
      </c>
      <c r="J79">
        <v>7</v>
      </c>
      <c r="K79">
        <v>8</v>
      </c>
      <c r="L79">
        <v>8</v>
      </c>
      <c r="M79">
        <v>8</v>
      </c>
      <c r="N79">
        <v>0.69599999999999995</v>
      </c>
      <c r="O79">
        <v>0.79400000000000004</v>
      </c>
      <c r="P79">
        <v>0.79400000000000004</v>
      </c>
      <c r="Q79">
        <v>0.79400000000000004</v>
      </c>
      <c r="R79">
        <v>-123.14246369999999</v>
      </c>
      <c r="S79">
        <v>44.510620099999997</v>
      </c>
      <c r="T79">
        <v>7.75</v>
      </c>
      <c r="U79">
        <v>0.90352940000000004</v>
      </c>
      <c r="V79">
        <v>0.5251846</v>
      </c>
      <c r="W79">
        <v>488676.75</v>
      </c>
      <c r="X79">
        <v>4928599</v>
      </c>
      <c r="Y79">
        <v>0</v>
      </c>
      <c r="AA79">
        <v>4</v>
      </c>
      <c r="AB79">
        <v>0</v>
      </c>
      <c r="AC79">
        <v>0.40200000000000002</v>
      </c>
      <c r="AD79">
        <v>0</v>
      </c>
      <c r="AE79">
        <v>5</v>
      </c>
      <c r="AF79">
        <v>0</v>
      </c>
      <c r="AG79">
        <v>0.5</v>
      </c>
      <c r="AH79">
        <v>0</v>
      </c>
      <c r="AI79">
        <v>31.052177400000001</v>
      </c>
      <c r="AJ79">
        <v>1E-4</v>
      </c>
      <c r="AK79">
        <v>0</v>
      </c>
      <c r="AL79">
        <v>0.13723850000000001</v>
      </c>
      <c r="AM79">
        <v>1</v>
      </c>
      <c r="AN79">
        <v>1</v>
      </c>
      <c r="AO79">
        <v>54</v>
      </c>
      <c r="AP79">
        <v>54</v>
      </c>
      <c r="AQ79">
        <v>5691</v>
      </c>
      <c r="AR79">
        <v>776</v>
      </c>
      <c r="AS79">
        <v>2025</v>
      </c>
      <c r="AT79" s="23">
        <v>45799</v>
      </c>
      <c r="AU79" s="23" t="s">
        <v>29</v>
      </c>
      <c r="AV79">
        <v>0</v>
      </c>
      <c r="AW79">
        <v>488676.75</v>
      </c>
      <c r="AX79">
        <v>4928599</v>
      </c>
      <c r="AY79">
        <v>1256.63706143591</v>
      </c>
      <c r="AZ79">
        <v>125663.706143591</v>
      </c>
      <c r="BA79">
        <v>0</v>
      </c>
      <c r="BB79">
        <v>7.9580000000000004E-4</v>
      </c>
      <c r="BC79">
        <v>3.1830999999999999E-3</v>
      </c>
      <c r="BD79">
        <v>-0.13723850000000001</v>
      </c>
      <c r="BE79">
        <v>-0.1364427</v>
      </c>
      <c r="BF79">
        <v>-0.13405539999999999</v>
      </c>
    </row>
    <row r="80" spans="1:58">
      <c r="A80">
        <v>6653</v>
      </c>
      <c r="B80" t="s">
        <v>150</v>
      </c>
      <c r="C80" t="s">
        <v>86</v>
      </c>
      <c r="G80" s="23">
        <v>43668</v>
      </c>
      <c r="H80">
        <v>2</v>
      </c>
      <c r="I80">
        <v>5692</v>
      </c>
      <c r="J80">
        <v>5</v>
      </c>
      <c r="K80">
        <v>8</v>
      </c>
      <c r="L80">
        <v>6</v>
      </c>
      <c r="M80">
        <v>8</v>
      </c>
      <c r="N80">
        <v>0.5</v>
      </c>
      <c r="O80">
        <v>0.79400000000000004</v>
      </c>
      <c r="P80">
        <v>0.59799999999999998</v>
      </c>
      <c r="Q80">
        <v>0.79400000000000004</v>
      </c>
      <c r="R80">
        <v>-123.14244840000001</v>
      </c>
      <c r="S80">
        <v>44.516471899999999</v>
      </c>
      <c r="T80">
        <v>6.75</v>
      </c>
      <c r="U80">
        <v>0.78823529999999997</v>
      </c>
      <c r="V80">
        <v>0.81078839999999996</v>
      </c>
      <c r="W80">
        <v>488679.125</v>
      </c>
      <c r="X80">
        <v>4929249</v>
      </c>
      <c r="Y80">
        <v>0</v>
      </c>
      <c r="AA80">
        <v>1</v>
      </c>
      <c r="AB80">
        <v>0</v>
      </c>
      <c r="AC80">
        <v>0.108</v>
      </c>
      <c r="AD80">
        <v>0</v>
      </c>
      <c r="AE80">
        <v>2</v>
      </c>
      <c r="AF80">
        <v>0</v>
      </c>
      <c r="AG80">
        <v>0.20599999999999999</v>
      </c>
      <c r="AH80">
        <v>0</v>
      </c>
      <c r="AI80">
        <v>31.052177400000001</v>
      </c>
      <c r="AJ80">
        <v>1E-4</v>
      </c>
      <c r="AK80">
        <v>0</v>
      </c>
      <c r="AL80">
        <v>0.2354349</v>
      </c>
      <c r="AM80">
        <v>1</v>
      </c>
      <c r="AN80">
        <v>1</v>
      </c>
      <c r="AO80">
        <v>55</v>
      </c>
      <c r="AP80">
        <v>55</v>
      </c>
      <c r="AQ80">
        <v>5692</v>
      </c>
      <c r="AR80">
        <v>777</v>
      </c>
      <c r="AS80">
        <v>2025</v>
      </c>
      <c r="AT80" s="23">
        <v>45799</v>
      </c>
      <c r="AU80" s="23" t="s">
        <v>29</v>
      </c>
      <c r="AV80">
        <v>0</v>
      </c>
      <c r="AW80">
        <v>488679.11999999901</v>
      </c>
      <c r="AX80">
        <v>4929249</v>
      </c>
      <c r="AY80">
        <v>1256.63706143591</v>
      </c>
      <c r="AZ80">
        <v>125663.706143591</v>
      </c>
      <c r="BA80">
        <v>0.2633374</v>
      </c>
      <c r="BB80">
        <v>0.28385729999999998</v>
      </c>
      <c r="BC80">
        <v>0.32197209999999998</v>
      </c>
      <c r="BD80">
        <v>2.79025E-2</v>
      </c>
      <c r="BE80">
        <v>4.84225E-2</v>
      </c>
      <c r="BF80">
        <v>8.6537199999999995E-2</v>
      </c>
    </row>
    <row r="81" spans="1:58">
      <c r="A81">
        <v>6784</v>
      </c>
      <c r="B81" t="s">
        <v>151</v>
      </c>
      <c r="C81" t="s">
        <v>88</v>
      </c>
      <c r="G81" s="23">
        <v>43668</v>
      </c>
      <c r="H81">
        <v>2</v>
      </c>
      <c r="I81">
        <v>5804</v>
      </c>
      <c r="J81">
        <v>8</v>
      </c>
      <c r="K81">
        <v>5</v>
      </c>
      <c r="L81">
        <v>8</v>
      </c>
      <c r="M81">
        <v>6</v>
      </c>
      <c r="N81">
        <v>0.79400000000000004</v>
      </c>
      <c r="O81">
        <v>0.5</v>
      </c>
      <c r="P81">
        <v>0.79400000000000004</v>
      </c>
      <c r="Q81">
        <v>0.59799999999999998</v>
      </c>
      <c r="R81">
        <v>-123.03271479999999</v>
      </c>
      <c r="S81">
        <v>44.504898099999998</v>
      </c>
      <c r="T81">
        <v>6.75</v>
      </c>
      <c r="U81">
        <v>0.78823529999999997</v>
      </c>
      <c r="V81">
        <v>0</v>
      </c>
      <c r="W81">
        <v>497399.375</v>
      </c>
      <c r="X81">
        <v>4927954</v>
      </c>
      <c r="Y81">
        <v>0</v>
      </c>
      <c r="AA81">
        <v>6</v>
      </c>
      <c r="AB81">
        <v>0</v>
      </c>
      <c r="AC81">
        <v>0.59799999999999998</v>
      </c>
      <c r="AD81">
        <v>1</v>
      </c>
      <c r="AE81">
        <v>8</v>
      </c>
      <c r="AF81">
        <v>0.27971980000000002</v>
      </c>
      <c r="AG81">
        <v>0.79400000000000004</v>
      </c>
      <c r="AH81">
        <v>0</v>
      </c>
      <c r="AI81">
        <v>31.052177400000001</v>
      </c>
      <c r="AJ81">
        <v>1E-4</v>
      </c>
      <c r="AK81">
        <v>0</v>
      </c>
      <c r="AL81">
        <v>0.44209100000000001</v>
      </c>
      <c r="AM81">
        <v>1</v>
      </c>
      <c r="AN81">
        <v>1</v>
      </c>
      <c r="AO81">
        <v>49</v>
      </c>
      <c r="AP81">
        <v>49</v>
      </c>
      <c r="AQ81">
        <v>5804</v>
      </c>
      <c r="AR81">
        <v>771</v>
      </c>
      <c r="AS81">
        <v>2025</v>
      </c>
      <c r="AT81" s="23">
        <v>45799</v>
      </c>
      <c r="AU81" s="23" t="s">
        <v>29</v>
      </c>
      <c r="AV81">
        <v>1</v>
      </c>
      <c r="AW81">
        <v>497399.36999999901</v>
      </c>
      <c r="AX81">
        <v>4927954</v>
      </c>
      <c r="AY81">
        <v>1256.63706143591</v>
      </c>
      <c r="AZ81">
        <v>125663.706143591</v>
      </c>
      <c r="BA81">
        <v>0.1259904</v>
      </c>
      <c r="BB81">
        <v>0.12280729999999999</v>
      </c>
      <c r="BC81">
        <v>0.122808</v>
      </c>
      <c r="BD81">
        <v>-0.31610060000000001</v>
      </c>
      <c r="BE81">
        <v>-0.3192837</v>
      </c>
      <c r="BF81">
        <v>-0.31928299999999998</v>
      </c>
    </row>
    <row r="82" spans="1:58">
      <c r="A82">
        <v>6789</v>
      </c>
      <c r="B82" t="s">
        <v>152</v>
      </c>
      <c r="C82" t="s">
        <v>88</v>
      </c>
      <c r="G82" s="23">
        <v>43668</v>
      </c>
      <c r="H82">
        <v>2</v>
      </c>
      <c r="I82">
        <v>5808</v>
      </c>
      <c r="J82">
        <v>5</v>
      </c>
      <c r="K82">
        <v>8</v>
      </c>
      <c r="L82">
        <v>6</v>
      </c>
      <c r="M82">
        <v>8</v>
      </c>
      <c r="N82">
        <v>0.5</v>
      </c>
      <c r="O82">
        <v>0.79400000000000004</v>
      </c>
      <c r="P82">
        <v>0.59799999999999998</v>
      </c>
      <c r="Q82">
        <v>0.79400000000000004</v>
      </c>
      <c r="R82">
        <v>-123.16799159999999</v>
      </c>
      <c r="S82">
        <v>44.512306199999998</v>
      </c>
      <c r="T82">
        <v>6.75</v>
      </c>
      <c r="U82">
        <v>0.78823529999999997</v>
      </c>
      <c r="V82">
        <v>0.6042746</v>
      </c>
      <c r="W82">
        <v>486647.625</v>
      </c>
      <c r="X82">
        <v>4928790</v>
      </c>
      <c r="Y82">
        <v>0</v>
      </c>
      <c r="AA82">
        <v>3</v>
      </c>
      <c r="AB82">
        <v>0</v>
      </c>
      <c r="AC82">
        <v>0.30399999999999999</v>
      </c>
      <c r="AD82">
        <v>0</v>
      </c>
      <c r="AE82">
        <v>8</v>
      </c>
      <c r="AF82">
        <v>0.141929</v>
      </c>
      <c r="AG82">
        <v>0.79400000000000004</v>
      </c>
      <c r="AH82">
        <v>0</v>
      </c>
      <c r="AI82">
        <v>31.052177400000001</v>
      </c>
      <c r="AJ82">
        <v>0.281835</v>
      </c>
      <c r="AK82">
        <v>1</v>
      </c>
      <c r="AL82">
        <v>0.15866669999999999</v>
      </c>
      <c r="AM82">
        <v>1</v>
      </c>
      <c r="AN82">
        <v>1</v>
      </c>
      <c r="AO82">
        <v>47</v>
      </c>
      <c r="AP82">
        <v>47</v>
      </c>
      <c r="AQ82">
        <v>5808</v>
      </c>
      <c r="AR82">
        <v>769</v>
      </c>
      <c r="AS82">
        <v>2025</v>
      </c>
      <c r="AT82" s="23">
        <v>45799</v>
      </c>
      <c r="AU82" s="23" t="s">
        <v>29</v>
      </c>
      <c r="AV82">
        <v>0</v>
      </c>
      <c r="AW82">
        <v>486647.61999999901</v>
      </c>
      <c r="AX82">
        <v>4928790</v>
      </c>
      <c r="AY82">
        <v>1256.63706143591</v>
      </c>
      <c r="AZ82">
        <v>125663.706143591</v>
      </c>
      <c r="BA82">
        <v>0.20990590000000001</v>
      </c>
      <c r="BB82">
        <v>0.24474290000000001</v>
      </c>
      <c r="BC82">
        <v>0.2686153</v>
      </c>
      <c r="BD82">
        <v>5.1239199999999999E-2</v>
      </c>
      <c r="BE82">
        <v>8.6076200000000005E-2</v>
      </c>
      <c r="BF82">
        <v>0.1099487</v>
      </c>
    </row>
    <row r="83" spans="1:58">
      <c r="A83">
        <v>23</v>
      </c>
      <c r="B83" t="s">
        <v>135</v>
      </c>
      <c r="C83" t="s">
        <v>86</v>
      </c>
      <c r="G83" s="23">
        <v>43668</v>
      </c>
      <c r="H83">
        <v>3</v>
      </c>
      <c r="I83">
        <v>550</v>
      </c>
      <c r="J83">
        <v>5</v>
      </c>
      <c r="K83">
        <v>6</v>
      </c>
      <c r="L83">
        <v>6</v>
      </c>
      <c r="M83">
        <v>7</v>
      </c>
      <c r="N83">
        <v>0.5</v>
      </c>
      <c r="O83">
        <v>0.59799999999999998</v>
      </c>
      <c r="P83">
        <v>0.59799999999999998</v>
      </c>
      <c r="Q83">
        <v>0.69599999999999995</v>
      </c>
      <c r="R83">
        <v>-123.2113647</v>
      </c>
      <c r="S83">
        <v>44.488193500000001</v>
      </c>
      <c r="T83">
        <v>6</v>
      </c>
      <c r="U83">
        <v>0.70176470000000002</v>
      </c>
      <c r="V83">
        <v>1.25863E-2</v>
      </c>
      <c r="W83">
        <v>483193.875</v>
      </c>
      <c r="X83">
        <v>4926119.5</v>
      </c>
      <c r="Y83">
        <v>1</v>
      </c>
      <c r="Z83">
        <v>0</v>
      </c>
      <c r="AA83">
        <v>4</v>
      </c>
      <c r="AB83">
        <v>0</v>
      </c>
      <c r="AC83">
        <v>0.40200000000000002</v>
      </c>
      <c r="AD83">
        <v>0</v>
      </c>
      <c r="AE83">
        <v>5</v>
      </c>
      <c r="AF83">
        <v>1.0968E-3</v>
      </c>
      <c r="AG83">
        <v>0.5</v>
      </c>
      <c r="AH83">
        <v>0</v>
      </c>
      <c r="AI83">
        <v>31.052177400000001</v>
      </c>
      <c r="AJ83">
        <v>1E-4</v>
      </c>
      <c r="AK83">
        <v>0</v>
      </c>
      <c r="AL83">
        <v>0.2511312</v>
      </c>
      <c r="AM83">
        <v>1</v>
      </c>
      <c r="AN83">
        <v>1</v>
      </c>
      <c r="AO83">
        <v>116</v>
      </c>
      <c r="AP83">
        <v>116</v>
      </c>
      <c r="AQ83">
        <v>550</v>
      </c>
      <c r="AR83">
        <v>838</v>
      </c>
      <c r="AS83">
        <v>2025</v>
      </c>
      <c r="AT83" s="23">
        <v>45812</v>
      </c>
      <c r="AU83" s="23" t="s">
        <v>153</v>
      </c>
      <c r="AV83">
        <v>0</v>
      </c>
      <c r="AW83">
        <v>483193.86999999901</v>
      </c>
      <c r="AX83">
        <v>4926119.5</v>
      </c>
      <c r="AY83">
        <v>1256.63706143591</v>
      </c>
      <c r="AZ83">
        <v>125663.706143591</v>
      </c>
      <c r="BA83">
        <v>0.32565159999999999</v>
      </c>
      <c r="BB83">
        <v>5.5703999999999997E-3</v>
      </c>
      <c r="BC83">
        <v>7.8110000000000002E-3</v>
      </c>
      <c r="BD83">
        <v>7.4520299999999998E-2</v>
      </c>
      <c r="BE83">
        <v>-0.2455608</v>
      </c>
      <c r="BF83">
        <v>-0.24332029999999999</v>
      </c>
    </row>
    <row r="84" spans="1:58">
      <c r="A84">
        <v>688</v>
      </c>
      <c r="B84" t="s">
        <v>154</v>
      </c>
      <c r="C84" t="s">
        <v>86</v>
      </c>
      <c r="G84" s="23">
        <v>43668</v>
      </c>
      <c r="H84">
        <v>2</v>
      </c>
      <c r="I84">
        <v>1101</v>
      </c>
      <c r="J84">
        <v>7</v>
      </c>
      <c r="K84">
        <v>6</v>
      </c>
      <c r="L84">
        <v>6</v>
      </c>
      <c r="M84">
        <v>8</v>
      </c>
      <c r="N84">
        <v>0.69599999999999995</v>
      </c>
      <c r="O84">
        <v>0.59799999999999998</v>
      </c>
      <c r="P84">
        <v>0.59799999999999998</v>
      </c>
      <c r="Q84">
        <v>0.79400000000000004</v>
      </c>
      <c r="R84">
        <v>-123.1236267</v>
      </c>
      <c r="S84">
        <v>44.393642399999997</v>
      </c>
      <c r="T84">
        <v>6.75</v>
      </c>
      <c r="U84">
        <v>0.78823529999999997</v>
      </c>
      <c r="V84">
        <v>0.37527379999999999</v>
      </c>
      <c r="W84">
        <v>490153.90625</v>
      </c>
      <c r="X84">
        <v>4915603</v>
      </c>
      <c r="Y84">
        <v>1</v>
      </c>
      <c r="Z84">
        <v>0</v>
      </c>
      <c r="AA84">
        <v>4</v>
      </c>
      <c r="AB84">
        <v>0</v>
      </c>
      <c r="AC84">
        <v>0.40200000000000002</v>
      </c>
      <c r="AD84">
        <v>0</v>
      </c>
      <c r="AE84">
        <v>3</v>
      </c>
      <c r="AF84">
        <v>0</v>
      </c>
      <c r="AG84">
        <v>0.30399999999999999</v>
      </c>
      <c r="AH84">
        <v>0</v>
      </c>
      <c r="AI84">
        <v>31.052177400000001</v>
      </c>
      <c r="AJ84">
        <v>1E-4</v>
      </c>
      <c r="AK84">
        <v>0</v>
      </c>
      <c r="AL84">
        <v>0.17892</v>
      </c>
      <c r="AM84">
        <v>1</v>
      </c>
      <c r="AN84">
        <v>1</v>
      </c>
      <c r="AO84">
        <v>108</v>
      </c>
      <c r="AP84">
        <v>108</v>
      </c>
      <c r="AQ84">
        <v>1101</v>
      </c>
      <c r="AR84">
        <v>830</v>
      </c>
      <c r="AS84">
        <v>2025</v>
      </c>
      <c r="AT84" s="23">
        <v>45812</v>
      </c>
      <c r="AU84" s="23" t="s">
        <v>153</v>
      </c>
      <c r="AV84">
        <v>0</v>
      </c>
      <c r="AW84">
        <v>490153.9</v>
      </c>
      <c r="AX84">
        <v>4915603</v>
      </c>
      <c r="AY84">
        <v>1256.63706143591</v>
      </c>
      <c r="AZ84">
        <v>125663.706143591</v>
      </c>
      <c r="BA84">
        <v>0.1556304</v>
      </c>
      <c r="BB84">
        <v>0.16517970000000001</v>
      </c>
      <c r="BC84">
        <v>0.22406680000000001</v>
      </c>
      <c r="BD84">
        <v>-2.3289600000000001E-2</v>
      </c>
      <c r="BE84">
        <v>-1.37403E-2</v>
      </c>
      <c r="BF84">
        <v>4.5146800000000001E-2</v>
      </c>
    </row>
    <row r="85" spans="1:58">
      <c r="A85">
        <v>689</v>
      </c>
      <c r="B85" t="s">
        <v>154</v>
      </c>
      <c r="C85" t="s">
        <v>86</v>
      </c>
      <c r="G85" s="23">
        <v>43668</v>
      </c>
      <c r="H85">
        <v>2</v>
      </c>
      <c r="I85">
        <v>1102</v>
      </c>
      <c r="J85">
        <v>7</v>
      </c>
      <c r="K85">
        <v>6</v>
      </c>
      <c r="L85">
        <v>6</v>
      </c>
      <c r="M85">
        <v>7</v>
      </c>
      <c r="N85">
        <v>0.69599999999999995</v>
      </c>
      <c r="O85">
        <v>0.59799999999999998</v>
      </c>
      <c r="P85">
        <v>0.59799999999999998</v>
      </c>
      <c r="Q85">
        <v>0.69599999999999995</v>
      </c>
      <c r="R85">
        <v>-123.12118529999999</v>
      </c>
      <c r="S85">
        <v>44.399227099999997</v>
      </c>
      <c r="T85">
        <v>6.5</v>
      </c>
      <c r="U85">
        <v>0.75941179999999997</v>
      </c>
      <c r="V85">
        <v>3.3278000000000001E-3</v>
      </c>
      <c r="W85">
        <v>490349.40625</v>
      </c>
      <c r="X85">
        <v>4916223</v>
      </c>
      <c r="Y85">
        <v>0</v>
      </c>
      <c r="AA85">
        <v>4</v>
      </c>
      <c r="AB85">
        <v>0</v>
      </c>
      <c r="AC85">
        <v>0.40200000000000002</v>
      </c>
      <c r="AD85">
        <v>0</v>
      </c>
      <c r="AE85">
        <v>8</v>
      </c>
      <c r="AF85">
        <v>0.1928224</v>
      </c>
      <c r="AG85">
        <v>0.79400000000000004</v>
      </c>
      <c r="AH85">
        <v>1</v>
      </c>
      <c r="AI85">
        <v>31.052177400000001</v>
      </c>
      <c r="AJ85">
        <v>1E-4</v>
      </c>
      <c r="AK85">
        <v>0</v>
      </c>
      <c r="AL85">
        <v>0.33264830000000001</v>
      </c>
      <c r="AM85">
        <v>1</v>
      </c>
      <c r="AN85">
        <v>1</v>
      </c>
      <c r="AO85">
        <v>109</v>
      </c>
      <c r="AP85">
        <v>109</v>
      </c>
      <c r="AQ85">
        <v>1102</v>
      </c>
      <c r="AR85">
        <v>831</v>
      </c>
      <c r="AS85">
        <v>2025</v>
      </c>
      <c r="AT85" s="23">
        <v>45812</v>
      </c>
      <c r="AU85" s="23" t="s">
        <v>153</v>
      </c>
      <c r="AV85">
        <v>2</v>
      </c>
      <c r="AW85">
        <v>490349.4</v>
      </c>
      <c r="AX85">
        <v>4916223</v>
      </c>
      <c r="AY85">
        <v>1256.63706143591</v>
      </c>
      <c r="AZ85">
        <v>125663.706143591</v>
      </c>
      <c r="BA85">
        <v>0.30408160000000001</v>
      </c>
      <c r="BB85">
        <v>0.3182236</v>
      </c>
      <c r="BC85">
        <v>1.4763000000000001E-3</v>
      </c>
      <c r="BD85">
        <v>-2.85667E-2</v>
      </c>
      <c r="BE85">
        <v>-1.44247E-2</v>
      </c>
      <c r="BF85">
        <v>-0.33117200000000002</v>
      </c>
    </row>
    <row r="86" spans="1:58">
      <c r="A86">
        <v>826</v>
      </c>
      <c r="B86" t="s">
        <v>155</v>
      </c>
      <c r="C86" t="s">
        <v>88</v>
      </c>
      <c r="G86" s="23">
        <v>43668</v>
      </c>
      <c r="H86">
        <v>2</v>
      </c>
      <c r="I86">
        <v>1213</v>
      </c>
      <c r="J86">
        <v>7</v>
      </c>
      <c r="K86">
        <v>8</v>
      </c>
      <c r="L86">
        <v>8</v>
      </c>
      <c r="M86">
        <v>8</v>
      </c>
      <c r="N86">
        <v>0.69599999999999995</v>
      </c>
      <c r="O86">
        <v>0.79400000000000004</v>
      </c>
      <c r="P86">
        <v>0.79400000000000004</v>
      </c>
      <c r="Q86">
        <v>0.79400000000000004</v>
      </c>
      <c r="R86">
        <v>-123.21542359999999</v>
      </c>
      <c r="S86">
        <v>44.403419499999998</v>
      </c>
      <c r="T86">
        <v>7.75</v>
      </c>
      <c r="U86">
        <v>0.90352940000000004</v>
      </c>
      <c r="V86">
        <v>0.67413809999999996</v>
      </c>
      <c r="W86">
        <v>482845.9375</v>
      </c>
      <c r="X86">
        <v>4916704</v>
      </c>
      <c r="Y86">
        <v>0</v>
      </c>
      <c r="AA86">
        <v>6</v>
      </c>
      <c r="AB86">
        <v>1.1038000000000001E-3</v>
      </c>
      <c r="AC86">
        <v>0.59799999999999998</v>
      </c>
      <c r="AD86">
        <v>1</v>
      </c>
      <c r="AE86">
        <v>5</v>
      </c>
      <c r="AF86">
        <v>5.5190000000000003E-4</v>
      </c>
      <c r="AG86">
        <v>0.5</v>
      </c>
      <c r="AH86">
        <v>1</v>
      </c>
      <c r="AI86">
        <v>31.052177400000001</v>
      </c>
      <c r="AJ86">
        <v>0.12367640000000001</v>
      </c>
      <c r="AK86">
        <v>1</v>
      </c>
      <c r="AL86">
        <v>0.14235919999999999</v>
      </c>
      <c r="AM86">
        <v>1</v>
      </c>
      <c r="AN86">
        <v>1</v>
      </c>
      <c r="AO86">
        <v>111</v>
      </c>
      <c r="AP86">
        <v>111</v>
      </c>
      <c r="AQ86">
        <v>1213</v>
      </c>
      <c r="AR86">
        <v>833</v>
      </c>
      <c r="AS86">
        <v>2025</v>
      </c>
      <c r="AT86" s="23">
        <v>45812</v>
      </c>
      <c r="AU86" s="23" t="s">
        <v>153</v>
      </c>
      <c r="AV86">
        <v>0</v>
      </c>
      <c r="AW86">
        <v>482845.929999999</v>
      </c>
      <c r="AX86">
        <v>4916704</v>
      </c>
      <c r="AY86">
        <v>1256.63706143591</v>
      </c>
      <c r="AZ86">
        <v>125663.706143591</v>
      </c>
      <c r="BA86">
        <v>7.9580000000000004E-4</v>
      </c>
      <c r="BB86">
        <v>5.5703999999999997E-3</v>
      </c>
      <c r="BC86">
        <v>0.73553570000000001</v>
      </c>
      <c r="BD86">
        <v>-0.14156340000000001</v>
      </c>
      <c r="BE86">
        <v>-0.13678879999999999</v>
      </c>
      <c r="BF86">
        <v>0.5931765</v>
      </c>
    </row>
    <row r="87" spans="1:58">
      <c r="A87">
        <v>961</v>
      </c>
      <c r="B87" t="s">
        <v>154</v>
      </c>
      <c r="C87" t="s">
        <v>86</v>
      </c>
      <c r="G87" s="23">
        <v>43668</v>
      </c>
      <c r="H87">
        <v>2</v>
      </c>
      <c r="I87">
        <v>1325</v>
      </c>
      <c r="J87">
        <v>7</v>
      </c>
      <c r="K87">
        <v>8</v>
      </c>
      <c r="L87">
        <v>8</v>
      </c>
      <c r="M87">
        <v>8</v>
      </c>
      <c r="N87">
        <v>0.69599999999999995</v>
      </c>
      <c r="O87">
        <v>0.79400000000000004</v>
      </c>
      <c r="P87">
        <v>0.79400000000000004</v>
      </c>
      <c r="Q87">
        <v>0.79400000000000004</v>
      </c>
      <c r="R87">
        <v>-123.12864690000001</v>
      </c>
      <c r="S87">
        <v>44.3424683</v>
      </c>
      <c r="T87">
        <v>7.75</v>
      </c>
      <c r="U87">
        <v>0.90352940000000004</v>
      </c>
      <c r="V87">
        <v>8.3230000000000005E-3</v>
      </c>
      <c r="W87">
        <v>489745.28125</v>
      </c>
      <c r="X87">
        <v>4909919.5</v>
      </c>
      <c r="Y87">
        <v>0</v>
      </c>
      <c r="AA87">
        <v>4</v>
      </c>
      <c r="AB87">
        <v>0</v>
      </c>
      <c r="AC87">
        <v>0.40200000000000002</v>
      </c>
      <c r="AD87">
        <v>0</v>
      </c>
      <c r="AE87">
        <v>8</v>
      </c>
      <c r="AF87">
        <v>0.1181546</v>
      </c>
      <c r="AG87">
        <v>0.79400000000000004</v>
      </c>
      <c r="AH87">
        <v>1</v>
      </c>
      <c r="AI87">
        <v>31.052177400000001</v>
      </c>
      <c r="AJ87">
        <v>1E-4</v>
      </c>
      <c r="AK87">
        <v>0</v>
      </c>
      <c r="AL87">
        <v>0.1718982</v>
      </c>
      <c r="AM87">
        <v>1</v>
      </c>
      <c r="AN87">
        <v>1</v>
      </c>
      <c r="AO87">
        <v>106</v>
      </c>
      <c r="AP87">
        <v>106</v>
      </c>
      <c r="AQ87">
        <v>1325</v>
      </c>
      <c r="AR87">
        <v>828</v>
      </c>
      <c r="AS87">
        <v>2025</v>
      </c>
      <c r="AT87" s="23">
        <v>45812</v>
      </c>
      <c r="AU87" s="23" t="s">
        <v>153</v>
      </c>
      <c r="AV87">
        <v>0</v>
      </c>
      <c r="AW87">
        <v>489745.28</v>
      </c>
      <c r="AX87">
        <v>4909919.5</v>
      </c>
      <c r="AY87">
        <v>1256.63706143591</v>
      </c>
      <c r="AZ87">
        <v>125663.706143591</v>
      </c>
      <c r="BA87">
        <v>0.182978</v>
      </c>
      <c r="BB87">
        <v>0.21722540000000001</v>
      </c>
      <c r="BC87">
        <v>0.29071239999999998</v>
      </c>
      <c r="BD87">
        <v>1.1079800000000001E-2</v>
      </c>
      <c r="BE87">
        <v>4.5327199999999998E-2</v>
      </c>
      <c r="BF87">
        <v>0.11881419999999999</v>
      </c>
    </row>
    <row r="88" spans="1:58">
      <c r="A88">
        <v>1085</v>
      </c>
      <c r="B88" t="s">
        <v>156</v>
      </c>
      <c r="C88" t="s">
        <v>86</v>
      </c>
      <c r="G88" s="23">
        <v>43668</v>
      </c>
      <c r="H88">
        <v>2</v>
      </c>
      <c r="I88">
        <v>1428</v>
      </c>
      <c r="J88">
        <v>6</v>
      </c>
      <c r="K88">
        <v>8</v>
      </c>
      <c r="L88">
        <v>5</v>
      </c>
      <c r="M88">
        <v>6</v>
      </c>
      <c r="N88">
        <v>0.59799999999999998</v>
      </c>
      <c r="O88">
        <v>0.79400000000000004</v>
      </c>
      <c r="P88">
        <v>0.5</v>
      </c>
      <c r="Q88">
        <v>0.59799999999999998</v>
      </c>
      <c r="R88">
        <v>-123.16372680000001</v>
      </c>
      <c r="S88">
        <v>44.430221600000003</v>
      </c>
      <c r="T88">
        <v>6.25</v>
      </c>
      <c r="U88">
        <v>0.73058829999999997</v>
      </c>
      <c r="V88">
        <v>0</v>
      </c>
      <c r="W88">
        <v>486968.625</v>
      </c>
      <c r="X88">
        <v>4919671.5</v>
      </c>
      <c r="Y88">
        <v>0</v>
      </c>
      <c r="AA88">
        <v>4</v>
      </c>
      <c r="AB88">
        <v>0</v>
      </c>
      <c r="AC88">
        <v>0.40200000000000002</v>
      </c>
      <c r="AD88">
        <v>0</v>
      </c>
      <c r="AE88">
        <v>8</v>
      </c>
      <c r="AF88">
        <v>0.2518532</v>
      </c>
      <c r="AG88">
        <v>0.79400000000000004</v>
      </c>
      <c r="AH88">
        <v>0</v>
      </c>
      <c r="AI88">
        <v>31.052177400000001</v>
      </c>
      <c r="AJ88">
        <v>1E-4</v>
      </c>
      <c r="AK88">
        <v>0</v>
      </c>
      <c r="AL88">
        <v>0.16381670000000001</v>
      </c>
      <c r="AM88">
        <v>1</v>
      </c>
      <c r="AN88">
        <v>1</v>
      </c>
      <c r="AO88">
        <v>114</v>
      </c>
      <c r="AP88">
        <v>114</v>
      </c>
      <c r="AQ88">
        <v>1428</v>
      </c>
      <c r="AR88">
        <v>836</v>
      </c>
      <c r="AS88">
        <v>2025</v>
      </c>
      <c r="AT88" s="23">
        <v>45812</v>
      </c>
      <c r="AU88" s="23" t="s">
        <v>153</v>
      </c>
      <c r="AV88">
        <v>0</v>
      </c>
      <c r="AW88">
        <v>486968.61999999901</v>
      </c>
      <c r="AX88">
        <v>4919671.5</v>
      </c>
      <c r="AY88">
        <v>1256.63706143591</v>
      </c>
      <c r="AZ88">
        <v>125663.706143591</v>
      </c>
      <c r="BA88">
        <v>3.1830999999999999E-3</v>
      </c>
      <c r="BB88">
        <v>7.2320000000000001E-4</v>
      </c>
      <c r="BC88">
        <v>5.7552999999999997E-3</v>
      </c>
      <c r="BD88">
        <v>-0.16063359999999999</v>
      </c>
      <c r="BE88">
        <v>-0.1630935</v>
      </c>
      <c r="BF88">
        <v>-0.15806139999999999</v>
      </c>
    </row>
    <row r="89" spans="1:58">
      <c r="A89">
        <v>1371</v>
      </c>
      <c r="B89" t="s">
        <v>157</v>
      </c>
      <c r="C89" t="s">
        <v>86</v>
      </c>
      <c r="G89" s="23">
        <v>43668</v>
      </c>
      <c r="H89">
        <v>2</v>
      </c>
      <c r="I89">
        <v>1673</v>
      </c>
      <c r="J89">
        <v>7</v>
      </c>
      <c r="K89">
        <v>5</v>
      </c>
      <c r="L89">
        <v>6</v>
      </c>
      <c r="M89">
        <v>8</v>
      </c>
      <c r="N89">
        <v>0.69599999999999995</v>
      </c>
      <c r="O89">
        <v>0.5</v>
      </c>
      <c r="P89">
        <v>0.59799999999999998</v>
      </c>
      <c r="Q89">
        <v>0.79400000000000004</v>
      </c>
      <c r="R89">
        <v>-123.1282501</v>
      </c>
      <c r="S89">
        <v>44.401741000000001</v>
      </c>
      <c r="T89">
        <v>6.5</v>
      </c>
      <c r="U89">
        <v>0.75941179999999997</v>
      </c>
      <c r="V89">
        <v>0.39543800000000001</v>
      </c>
      <c r="W89">
        <v>489787.21875</v>
      </c>
      <c r="X89">
        <v>4916503</v>
      </c>
      <c r="Y89">
        <v>0</v>
      </c>
      <c r="AA89">
        <v>3</v>
      </c>
      <c r="AB89">
        <v>0</v>
      </c>
      <c r="AC89">
        <v>0.30399999999999999</v>
      </c>
      <c r="AD89">
        <v>0</v>
      </c>
      <c r="AE89">
        <v>8</v>
      </c>
      <c r="AF89">
        <v>0.2349087</v>
      </c>
      <c r="AG89">
        <v>0.79400000000000004</v>
      </c>
      <c r="AH89">
        <v>0</v>
      </c>
      <c r="AI89">
        <v>31.052177400000001</v>
      </c>
      <c r="AJ89">
        <v>1E-4</v>
      </c>
      <c r="AK89">
        <v>0</v>
      </c>
      <c r="AL89">
        <v>0.26729320000000001</v>
      </c>
      <c r="AM89">
        <v>1</v>
      </c>
      <c r="AN89">
        <v>1</v>
      </c>
      <c r="AO89">
        <v>110</v>
      </c>
      <c r="AP89">
        <v>110</v>
      </c>
      <c r="AQ89">
        <v>1673</v>
      </c>
      <c r="AR89">
        <v>832</v>
      </c>
      <c r="AS89">
        <v>2025</v>
      </c>
      <c r="AT89" s="23">
        <v>45812</v>
      </c>
      <c r="AU89" s="23" t="s">
        <v>153</v>
      </c>
      <c r="AV89">
        <v>2</v>
      </c>
      <c r="AW89">
        <v>489787.21</v>
      </c>
      <c r="AX89">
        <v>4916503</v>
      </c>
      <c r="AY89">
        <v>1256.63706143591</v>
      </c>
      <c r="AZ89">
        <v>125663.706143591</v>
      </c>
      <c r="BA89">
        <v>0.29294609999999999</v>
      </c>
      <c r="BB89">
        <v>0.31346570000000001</v>
      </c>
      <c r="BC89">
        <v>0.32398919999999998</v>
      </c>
      <c r="BD89">
        <v>2.5652999999999999E-2</v>
      </c>
      <c r="BE89">
        <v>4.6172499999999998E-2</v>
      </c>
      <c r="BF89">
        <v>5.6696099999999999E-2</v>
      </c>
    </row>
    <row r="90" spans="1:58">
      <c r="A90">
        <v>1433</v>
      </c>
      <c r="B90" t="s">
        <v>158</v>
      </c>
      <c r="C90" t="s">
        <v>86</v>
      </c>
      <c r="G90" s="23">
        <v>43668</v>
      </c>
      <c r="H90">
        <v>2</v>
      </c>
      <c r="I90">
        <v>1725</v>
      </c>
      <c r="J90">
        <v>6</v>
      </c>
      <c r="K90">
        <v>6</v>
      </c>
      <c r="L90">
        <v>6</v>
      </c>
      <c r="M90">
        <v>8</v>
      </c>
      <c r="N90">
        <v>0.59799999999999998</v>
      </c>
      <c r="O90">
        <v>0.59799999999999998</v>
      </c>
      <c r="P90">
        <v>0.59799999999999998</v>
      </c>
      <c r="Q90">
        <v>0.79400000000000004</v>
      </c>
      <c r="R90">
        <v>-123.17779539999999</v>
      </c>
      <c r="S90">
        <v>44.450855300000001</v>
      </c>
      <c r="T90">
        <v>6.5</v>
      </c>
      <c r="U90">
        <v>0.75941179999999997</v>
      </c>
      <c r="V90">
        <v>0.42395369999999999</v>
      </c>
      <c r="W90">
        <v>485853.875</v>
      </c>
      <c r="X90">
        <v>4921965.5</v>
      </c>
      <c r="Y90">
        <v>0</v>
      </c>
      <c r="AA90">
        <v>8</v>
      </c>
      <c r="AB90">
        <v>0.33284059999999999</v>
      </c>
      <c r="AC90">
        <v>0.79400000000000004</v>
      </c>
      <c r="AD90">
        <v>0</v>
      </c>
      <c r="AE90">
        <v>5</v>
      </c>
      <c r="AF90">
        <v>0</v>
      </c>
      <c r="AG90">
        <v>0.5</v>
      </c>
      <c r="AH90">
        <v>0</v>
      </c>
      <c r="AI90">
        <v>31.052177400000001</v>
      </c>
      <c r="AJ90">
        <v>9.6422999999999995E-2</v>
      </c>
      <c r="AK90">
        <v>1</v>
      </c>
      <c r="AL90">
        <v>0.54824360000000005</v>
      </c>
      <c r="AM90">
        <v>1</v>
      </c>
      <c r="AN90">
        <v>1</v>
      </c>
      <c r="AO90">
        <v>115</v>
      </c>
      <c r="AP90">
        <v>115</v>
      </c>
      <c r="AQ90">
        <v>1725</v>
      </c>
      <c r="AR90">
        <v>837</v>
      </c>
      <c r="AS90">
        <v>2025</v>
      </c>
      <c r="AT90" s="23">
        <v>45812</v>
      </c>
      <c r="AU90" s="23" t="s">
        <v>153</v>
      </c>
      <c r="AV90">
        <v>1</v>
      </c>
      <c r="AW90">
        <v>485853.86999999901</v>
      </c>
      <c r="AX90">
        <v>4921965.5</v>
      </c>
      <c r="AY90">
        <v>1256.63706143591</v>
      </c>
      <c r="AZ90">
        <v>125663.706143591</v>
      </c>
      <c r="BA90">
        <v>7.9580000000000004E-4</v>
      </c>
      <c r="BB90">
        <v>7.9580000000000004E-4</v>
      </c>
      <c r="BC90">
        <v>4.3179999999999998E-4</v>
      </c>
      <c r="BD90">
        <v>-0.54744780000000004</v>
      </c>
      <c r="BE90">
        <v>-0.54744780000000004</v>
      </c>
      <c r="BF90">
        <v>-0.54781170000000001</v>
      </c>
    </row>
    <row r="91" spans="1:58">
      <c r="A91">
        <v>1488</v>
      </c>
      <c r="B91" t="s">
        <v>156</v>
      </c>
      <c r="C91" t="s">
        <v>86</v>
      </c>
      <c r="G91" s="23">
        <v>43668</v>
      </c>
      <c r="H91">
        <v>2</v>
      </c>
      <c r="I91">
        <v>1769</v>
      </c>
      <c r="J91">
        <v>6</v>
      </c>
      <c r="K91">
        <v>8</v>
      </c>
      <c r="L91">
        <v>7</v>
      </c>
      <c r="M91">
        <v>8</v>
      </c>
      <c r="N91">
        <v>0.59799999999999998</v>
      </c>
      <c r="O91">
        <v>0.79400000000000004</v>
      </c>
      <c r="P91">
        <v>0.69599999999999995</v>
      </c>
      <c r="Q91">
        <v>0.79400000000000004</v>
      </c>
      <c r="R91">
        <v>-123.17141719999999</v>
      </c>
      <c r="S91">
        <v>44.442829099999997</v>
      </c>
      <c r="T91">
        <v>7.25</v>
      </c>
      <c r="U91">
        <v>0.84588240000000003</v>
      </c>
      <c r="V91">
        <v>0.1087626</v>
      </c>
      <c r="W91">
        <v>486359.15625</v>
      </c>
      <c r="X91">
        <v>4921073</v>
      </c>
      <c r="Y91">
        <v>0</v>
      </c>
      <c r="AA91">
        <v>4</v>
      </c>
      <c r="AB91">
        <v>0</v>
      </c>
      <c r="AC91">
        <v>0.40200000000000002</v>
      </c>
      <c r="AD91">
        <v>0</v>
      </c>
      <c r="AE91">
        <v>5</v>
      </c>
      <c r="AF91">
        <v>0</v>
      </c>
      <c r="AG91">
        <v>0.5</v>
      </c>
      <c r="AH91">
        <v>0</v>
      </c>
      <c r="AI91">
        <v>31.052177400000001</v>
      </c>
      <c r="AJ91">
        <v>1E-4</v>
      </c>
      <c r="AK91">
        <v>0</v>
      </c>
      <c r="AL91">
        <v>0.27334540000000002</v>
      </c>
      <c r="AM91">
        <v>1</v>
      </c>
      <c r="AN91">
        <v>1</v>
      </c>
      <c r="AO91">
        <v>113</v>
      </c>
      <c r="AP91">
        <v>113</v>
      </c>
      <c r="AQ91">
        <v>1769</v>
      </c>
      <c r="AR91">
        <v>835</v>
      </c>
      <c r="AS91">
        <v>2025</v>
      </c>
      <c r="AT91" s="23">
        <v>45812</v>
      </c>
      <c r="AU91" s="23" t="s">
        <v>153</v>
      </c>
      <c r="AV91">
        <v>0</v>
      </c>
      <c r="AW91">
        <v>486359.15</v>
      </c>
      <c r="AX91">
        <v>4921073</v>
      </c>
      <c r="AY91">
        <v>1256.63706143591</v>
      </c>
      <c r="AZ91">
        <v>125663.706143591</v>
      </c>
      <c r="BA91">
        <v>0.31854700000000002</v>
      </c>
      <c r="BB91">
        <v>1.5915E-3</v>
      </c>
      <c r="BC91">
        <v>2.3873000000000002E-3</v>
      </c>
      <c r="BD91">
        <v>4.5201499999999999E-2</v>
      </c>
      <c r="BE91">
        <v>-0.27175379999999999</v>
      </c>
      <c r="BF91">
        <v>-0.27095809999999998</v>
      </c>
    </row>
    <row r="92" spans="1:58">
      <c r="A92">
        <v>1601</v>
      </c>
      <c r="B92" t="s">
        <v>159</v>
      </c>
      <c r="C92" t="s">
        <v>86</v>
      </c>
      <c r="G92" s="23">
        <v>43668</v>
      </c>
      <c r="H92">
        <v>3</v>
      </c>
      <c r="I92">
        <v>1861</v>
      </c>
      <c r="J92">
        <v>0</v>
      </c>
      <c r="K92">
        <v>0</v>
      </c>
      <c r="L92">
        <v>0</v>
      </c>
      <c r="M92">
        <v>0</v>
      </c>
      <c r="N92">
        <v>0.01</v>
      </c>
      <c r="O92">
        <v>0.01</v>
      </c>
      <c r="P92">
        <v>0.01</v>
      </c>
      <c r="Q92">
        <v>0.01</v>
      </c>
      <c r="R92">
        <v>-122.96379090000001</v>
      </c>
      <c r="S92">
        <v>43.957645399999997</v>
      </c>
      <c r="T92">
        <v>0</v>
      </c>
      <c r="U92">
        <v>0.01</v>
      </c>
      <c r="V92">
        <v>0</v>
      </c>
      <c r="W92">
        <v>502904.90625</v>
      </c>
      <c r="X92">
        <v>4867169.5</v>
      </c>
      <c r="Y92">
        <v>0</v>
      </c>
      <c r="AA92">
        <v>5</v>
      </c>
      <c r="AB92">
        <v>0</v>
      </c>
      <c r="AC92">
        <v>0.5</v>
      </c>
      <c r="AD92">
        <v>0</v>
      </c>
      <c r="AE92">
        <v>5</v>
      </c>
      <c r="AF92">
        <v>2.6443E-3</v>
      </c>
      <c r="AG92">
        <v>0.5</v>
      </c>
      <c r="AH92">
        <v>0</v>
      </c>
      <c r="AI92">
        <v>31.052177400000001</v>
      </c>
      <c r="AJ92">
        <v>0.2488389</v>
      </c>
      <c r="AK92">
        <v>1</v>
      </c>
      <c r="AL92">
        <v>0.2534962</v>
      </c>
      <c r="AM92">
        <v>1</v>
      </c>
      <c r="AN92">
        <v>1</v>
      </c>
      <c r="AO92">
        <v>105</v>
      </c>
      <c r="AP92">
        <v>105</v>
      </c>
      <c r="AQ92">
        <v>1861</v>
      </c>
      <c r="AR92">
        <v>827</v>
      </c>
      <c r="AS92">
        <v>2025</v>
      </c>
      <c r="AT92" s="23">
        <v>45812</v>
      </c>
      <c r="AU92" s="23" t="s">
        <v>153</v>
      </c>
      <c r="AV92">
        <v>0</v>
      </c>
      <c r="AW92">
        <v>502904.9</v>
      </c>
      <c r="AX92">
        <v>4867169.5</v>
      </c>
      <c r="AY92">
        <v>1256.63706143591</v>
      </c>
      <c r="AZ92">
        <v>125663.706143591</v>
      </c>
      <c r="BA92">
        <v>1.5915E-3</v>
      </c>
      <c r="BB92">
        <v>0.49061379999999999</v>
      </c>
      <c r="BC92">
        <v>7.9580000000000004E-4</v>
      </c>
      <c r="BD92">
        <v>-0.25190469999999998</v>
      </c>
      <c r="BE92">
        <v>0.23711760000000001</v>
      </c>
      <c r="BF92">
        <v>-0.25270039999999999</v>
      </c>
    </row>
    <row r="93" spans="1:58">
      <c r="A93">
        <v>2571</v>
      </c>
      <c r="B93" t="s">
        <v>160</v>
      </c>
      <c r="C93" t="s">
        <v>86</v>
      </c>
      <c r="G93" s="23">
        <v>43668</v>
      </c>
      <c r="H93">
        <v>2</v>
      </c>
      <c r="I93">
        <v>2669</v>
      </c>
      <c r="J93">
        <v>6</v>
      </c>
      <c r="K93">
        <v>8</v>
      </c>
      <c r="L93">
        <v>6</v>
      </c>
      <c r="M93">
        <v>8</v>
      </c>
      <c r="N93">
        <v>0.59799999999999998</v>
      </c>
      <c r="O93">
        <v>0.79400000000000004</v>
      </c>
      <c r="P93">
        <v>0.59799999999999998</v>
      </c>
      <c r="Q93">
        <v>0.79400000000000004</v>
      </c>
      <c r="R93">
        <v>-123.1856995</v>
      </c>
      <c r="S93">
        <v>44.428035700000002</v>
      </c>
      <c r="T93">
        <v>7</v>
      </c>
      <c r="U93">
        <v>0.81705879999999997</v>
      </c>
      <c r="V93">
        <v>0.41760550000000002</v>
      </c>
      <c r="W93">
        <v>485219.375</v>
      </c>
      <c r="X93">
        <v>4919432.5</v>
      </c>
      <c r="Y93">
        <v>0</v>
      </c>
      <c r="AA93">
        <v>3</v>
      </c>
      <c r="AB93">
        <v>0</v>
      </c>
      <c r="AC93">
        <v>0.30399999999999999</v>
      </c>
      <c r="AD93">
        <v>0</v>
      </c>
      <c r="AE93">
        <v>8</v>
      </c>
      <c r="AF93">
        <v>0.18447669999999999</v>
      </c>
      <c r="AG93">
        <v>0.79400000000000004</v>
      </c>
      <c r="AH93">
        <v>0</v>
      </c>
      <c r="AI93">
        <v>31.052177400000001</v>
      </c>
      <c r="AJ93">
        <v>0.12830169999999999</v>
      </c>
      <c r="AK93">
        <v>1</v>
      </c>
      <c r="AL93">
        <v>0.1755476</v>
      </c>
      <c r="AM93">
        <v>1</v>
      </c>
      <c r="AN93">
        <v>1</v>
      </c>
      <c r="AO93">
        <v>112</v>
      </c>
      <c r="AP93">
        <v>112</v>
      </c>
      <c r="AQ93">
        <v>2669</v>
      </c>
      <c r="AR93">
        <v>834</v>
      </c>
      <c r="AS93">
        <v>2025</v>
      </c>
      <c r="AT93" s="23">
        <v>45812</v>
      </c>
      <c r="AU93" s="23" t="s">
        <v>153</v>
      </c>
      <c r="AV93">
        <v>0</v>
      </c>
      <c r="AW93">
        <v>485219.36999999901</v>
      </c>
      <c r="AX93">
        <v>4919432.5</v>
      </c>
      <c r="AY93">
        <v>1256.63706143591</v>
      </c>
      <c r="AZ93">
        <v>125663.706143591</v>
      </c>
      <c r="BA93">
        <v>0.22006519999999999</v>
      </c>
      <c r="BB93">
        <v>0.26212760000000002</v>
      </c>
      <c r="BC93">
        <v>1.5915E-3</v>
      </c>
      <c r="BD93">
        <v>4.4517599999999997E-2</v>
      </c>
      <c r="BE93">
        <v>8.6580000000000004E-2</v>
      </c>
      <c r="BF93">
        <v>-0.173956</v>
      </c>
    </row>
    <row r="94" spans="1:58">
      <c r="A94">
        <v>6347</v>
      </c>
      <c r="B94" t="s">
        <v>154</v>
      </c>
      <c r="C94" t="s">
        <v>86</v>
      </c>
      <c r="G94" s="23">
        <v>43668</v>
      </c>
      <c r="H94">
        <v>2</v>
      </c>
      <c r="I94">
        <v>5464</v>
      </c>
      <c r="J94">
        <v>7</v>
      </c>
      <c r="K94">
        <v>8</v>
      </c>
      <c r="L94">
        <v>7</v>
      </c>
      <c r="M94">
        <v>8</v>
      </c>
      <c r="N94">
        <v>0.69599999999999995</v>
      </c>
      <c r="O94">
        <v>0.79400000000000004</v>
      </c>
      <c r="P94">
        <v>0.69599999999999995</v>
      </c>
      <c r="Q94">
        <v>0.79400000000000004</v>
      </c>
      <c r="R94">
        <v>-123.128685</v>
      </c>
      <c r="S94">
        <v>44.365688300000002</v>
      </c>
      <c r="T94">
        <v>7.5</v>
      </c>
      <c r="U94">
        <v>0.87470590000000004</v>
      </c>
      <c r="V94">
        <v>0.1759056</v>
      </c>
      <c r="W94">
        <v>489746.15625</v>
      </c>
      <c r="X94">
        <v>4912498.5</v>
      </c>
      <c r="Y94">
        <v>0</v>
      </c>
      <c r="AA94">
        <v>4</v>
      </c>
      <c r="AB94">
        <v>0</v>
      </c>
      <c r="AC94">
        <v>0.40200000000000002</v>
      </c>
      <c r="AD94">
        <v>0</v>
      </c>
      <c r="AE94">
        <v>3</v>
      </c>
      <c r="AF94">
        <v>0</v>
      </c>
      <c r="AG94">
        <v>0.30399999999999999</v>
      </c>
      <c r="AH94">
        <v>1</v>
      </c>
      <c r="AI94">
        <v>31.052177400000001</v>
      </c>
      <c r="AJ94">
        <v>0.12588089999999999</v>
      </c>
      <c r="AK94">
        <v>1</v>
      </c>
      <c r="AL94">
        <v>0.19298709999999999</v>
      </c>
      <c r="AM94">
        <v>1</v>
      </c>
      <c r="AN94">
        <v>1</v>
      </c>
      <c r="AO94">
        <v>107</v>
      </c>
      <c r="AP94">
        <v>107</v>
      </c>
      <c r="AQ94">
        <v>5464</v>
      </c>
      <c r="AR94">
        <v>829</v>
      </c>
      <c r="AS94">
        <v>2025</v>
      </c>
      <c r="AT94" s="23">
        <v>45812</v>
      </c>
      <c r="AU94" s="23" t="s">
        <v>153</v>
      </c>
      <c r="AV94">
        <v>0</v>
      </c>
      <c r="AW94">
        <v>489746.15</v>
      </c>
      <c r="AX94">
        <v>4912498.5</v>
      </c>
      <c r="AY94">
        <v>1256.63706143591</v>
      </c>
      <c r="AZ94">
        <v>125663.706143591</v>
      </c>
      <c r="BA94">
        <v>0.1163365</v>
      </c>
      <c r="BB94">
        <v>4.1868700000000002E-2</v>
      </c>
      <c r="BC94">
        <v>7.9580000000000004E-4</v>
      </c>
      <c r="BD94">
        <v>-7.6650599999999999E-2</v>
      </c>
      <c r="BE94">
        <v>-0.15111840000000001</v>
      </c>
      <c r="BF94">
        <v>-0.19219130000000001</v>
      </c>
    </row>
    <row r="95" spans="1:58">
      <c r="A95">
        <v>481</v>
      </c>
      <c r="B95" t="s">
        <v>161</v>
      </c>
      <c r="C95" t="s">
        <v>86</v>
      </c>
      <c r="G95" s="23">
        <v>43668</v>
      </c>
      <c r="H95">
        <v>2</v>
      </c>
      <c r="I95">
        <v>923</v>
      </c>
      <c r="J95">
        <v>5</v>
      </c>
      <c r="K95">
        <v>5</v>
      </c>
      <c r="L95">
        <v>8</v>
      </c>
      <c r="M95">
        <v>7</v>
      </c>
      <c r="N95">
        <v>0.5</v>
      </c>
      <c r="O95">
        <v>0.5</v>
      </c>
      <c r="P95">
        <v>0.79400000000000004</v>
      </c>
      <c r="Q95">
        <v>0.69599999999999995</v>
      </c>
      <c r="R95">
        <v>-123.13963320000001</v>
      </c>
      <c r="S95">
        <v>44.216331500000003</v>
      </c>
      <c r="T95">
        <v>6.25</v>
      </c>
      <c r="U95">
        <v>0.73058829999999997</v>
      </c>
      <c r="V95">
        <v>0</v>
      </c>
      <c r="W95">
        <v>488845.625</v>
      </c>
      <c r="X95">
        <v>4895910.5</v>
      </c>
      <c r="Y95">
        <v>1</v>
      </c>
      <c r="Z95">
        <v>0</v>
      </c>
      <c r="AA95">
        <v>6</v>
      </c>
      <c r="AB95">
        <v>0.12749170000000001</v>
      </c>
      <c r="AC95">
        <v>0.59799999999999998</v>
      </c>
      <c r="AD95">
        <v>1</v>
      </c>
      <c r="AE95">
        <v>6</v>
      </c>
      <c r="AF95">
        <v>0.21373780000000001</v>
      </c>
      <c r="AG95">
        <v>0.59799999999999998</v>
      </c>
      <c r="AH95">
        <v>0</v>
      </c>
      <c r="AI95">
        <v>31.052177400000001</v>
      </c>
      <c r="AJ95">
        <v>0.12630920000000001</v>
      </c>
      <c r="AK95">
        <v>1</v>
      </c>
      <c r="AL95">
        <v>0.14956510000000001</v>
      </c>
      <c r="AM95">
        <v>1</v>
      </c>
      <c r="AN95">
        <v>1</v>
      </c>
      <c r="AO95">
        <v>101</v>
      </c>
      <c r="AP95">
        <v>101</v>
      </c>
      <c r="AQ95">
        <v>923</v>
      </c>
      <c r="AR95">
        <v>823</v>
      </c>
      <c r="AS95">
        <v>2025</v>
      </c>
      <c r="AT95" s="23">
        <v>45813</v>
      </c>
      <c r="AU95" s="23" t="s">
        <v>153</v>
      </c>
      <c r="AV95">
        <v>0</v>
      </c>
      <c r="AW95">
        <v>488845.61999999901</v>
      </c>
      <c r="AX95">
        <v>4895910.5</v>
      </c>
      <c r="AY95">
        <v>1256.63706143591</v>
      </c>
      <c r="AZ95">
        <v>125663.706143591</v>
      </c>
      <c r="BA95">
        <v>6.4700000000000001E-4</v>
      </c>
      <c r="BB95">
        <v>7.1469999999999997E-4</v>
      </c>
      <c r="BC95">
        <v>7.1489999999999998E-4</v>
      </c>
      <c r="BD95">
        <v>-0.1489181</v>
      </c>
      <c r="BE95">
        <v>-0.14885039999999999</v>
      </c>
      <c r="BF95">
        <v>-0.14885019999999999</v>
      </c>
    </row>
    <row r="96" spans="1:58">
      <c r="A96">
        <v>513</v>
      </c>
      <c r="B96" t="s">
        <v>162</v>
      </c>
      <c r="C96" t="s">
        <v>88</v>
      </c>
      <c r="G96" s="23">
        <v>43668</v>
      </c>
      <c r="H96">
        <v>2</v>
      </c>
      <c r="I96">
        <v>948</v>
      </c>
      <c r="J96">
        <v>7</v>
      </c>
      <c r="K96">
        <v>7</v>
      </c>
      <c r="L96">
        <v>5</v>
      </c>
      <c r="M96">
        <v>8</v>
      </c>
      <c r="N96">
        <v>0.69599999999999995</v>
      </c>
      <c r="O96">
        <v>0.69599999999999995</v>
      </c>
      <c r="P96">
        <v>0.5</v>
      </c>
      <c r="Q96">
        <v>0.79400000000000004</v>
      </c>
      <c r="R96">
        <v>-122.9600906</v>
      </c>
      <c r="S96">
        <v>44.388904599999996</v>
      </c>
      <c r="T96">
        <v>6.75</v>
      </c>
      <c r="U96">
        <v>0.78823529999999997</v>
      </c>
      <c r="V96">
        <v>0.80859700000000001</v>
      </c>
      <c r="W96">
        <v>503178.9375</v>
      </c>
      <c r="X96">
        <v>4915070</v>
      </c>
      <c r="Y96">
        <v>0</v>
      </c>
      <c r="AA96">
        <v>4</v>
      </c>
      <c r="AB96">
        <v>0</v>
      </c>
      <c r="AC96">
        <v>0.40200000000000002</v>
      </c>
      <c r="AD96">
        <v>0</v>
      </c>
      <c r="AE96">
        <v>8</v>
      </c>
      <c r="AF96">
        <v>0.89127959999999995</v>
      </c>
      <c r="AG96">
        <v>0.79400000000000004</v>
      </c>
      <c r="AH96">
        <v>1</v>
      </c>
      <c r="AI96">
        <v>31.052177400000001</v>
      </c>
      <c r="AJ96">
        <v>1E-4</v>
      </c>
      <c r="AK96">
        <v>0</v>
      </c>
      <c r="AL96">
        <v>0.24299660000000001</v>
      </c>
      <c r="AM96">
        <v>1</v>
      </c>
      <c r="AN96">
        <v>1</v>
      </c>
      <c r="AO96">
        <v>96</v>
      </c>
      <c r="AP96">
        <v>96</v>
      </c>
      <c r="AQ96">
        <v>948</v>
      </c>
      <c r="AR96">
        <v>818</v>
      </c>
      <c r="AS96">
        <v>2025</v>
      </c>
      <c r="AT96" s="23">
        <v>45813</v>
      </c>
      <c r="AU96" s="23" t="s">
        <v>153</v>
      </c>
      <c r="AV96">
        <v>0</v>
      </c>
      <c r="AW96">
        <v>503178.929999999</v>
      </c>
      <c r="AX96">
        <v>4915070</v>
      </c>
      <c r="AY96">
        <v>1256.63706143591</v>
      </c>
      <c r="AZ96">
        <v>125663.706143591</v>
      </c>
      <c r="BA96">
        <v>0.28882039999999998</v>
      </c>
      <c r="BB96">
        <v>0.32781339999999998</v>
      </c>
      <c r="BC96">
        <v>7.9580000000000004E-4</v>
      </c>
      <c r="BD96">
        <v>4.5823900000000001E-2</v>
      </c>
      <c r="BE96">
        <v>8.4816799999999998E-2</v>
      </c>
      <c r="BF96">
        <v>-0.24220079999999999</v>
      </c>
    </row>
    <row r="97" spans="1:58">
      <c r="A97">
        <v>658</v>
      </c>
      <c r="B97" t="s">
        <v>163</v>
      </c>
      <c r="C97" t="s">
        <v>86</v>
      </c>
      <c r="G97" s="23">
        <v>43668</v>
      </c>
      <c r="H97">
        <v>2</v>
      </c>
      <c r="I97">
        <v>1074</v>
      </c>
      <c r="J97">
        <v>8</v>
      </c>
      <c r="K97">
        <v>8</v>
      </c>
      <c r="L97">
        <v>8</v>
      </c>
      <c r="M97">
        <v>8</v>
      </c>
      <c r="N97">
        <v>0.79400000000000004</v>
      </c>
      <c r="O97">
        <v>0.79400000000000004</v>
      </c>
      <c r="P97">
        <v>0.79400000000000004</v>
      </c>
      <c r="Q97">
        <v>0.79400000000000004</v>
      </c>
      <c r="R97">
        <v>-123.161377</v>
      </c>
      <c r="S97">
        <v>44.259391800000003</v>
      </c>
      <c r="T97">
        <v>8</v>
      </c>
      <c r="U97">
        <v>0.93235299999999999</v>
      </c>
      <c r="V97">
        <v>0.22653100000000001</v>
      </c>
      <c r="W97">
        <v>487118.46875</v>
      </c>
      <c r="X97">
        <v>4900696.5</v>
      </c>
      <c r="Y97">
        <v>0</v>
      </c>
      <c r="AA97">
        <v>2</v>
      </c>
      <c r="AB97">
        <v>0</v>
      </c>
      <c r="AC97">
        <v>0.20599999999999999</v>
      </c>
      <c r="AD97">
        <v>0</v>
      </c>
      <c r="AE97">
        <v>3</v>
      </c>
      <c r="AF97">
        <v>0</v>
      </c>
      <c r="AG97">
        <v>0.30399999999999999</v>
      </c>
      <c r="AH97">
        <v>0</v>
      </c>
      <c r="AI97">
        <v>31.052177400000001</v>
      </c>
      <c r="AJ97">
        <v>1E-4</v>
      </c>
      <c r="AK97">
        <v>0</v>
      </c>
      <c r="AL97">
        <v>0.24397559999999999</v>
      </c>
      <c r="AM97">
        <v>1</v>
      </c>
      <c r="AN97">
        <v>1</v>
      </c>
      <c r="AO97">
        <v>104</v>
      </c>
      <c r="AP97">
        <v>104</v>
      </c>
      <c r="AQ97">
        <v>1074</v>
      </c>
      <c r="AR97">
        <v>826</v>
      </c>
      <c r="AS97">
        <v>2025</v>
      </c>
      <c r="AT97" s="23">
        <v>45813</v>
      </c>
      <c r="AU97" s="23" t="s">
        <v>153</v>
      </c>
      <c r="AV97">
        <v>2</v>
      </c>
      <c r="AW97">
        <v>487118.46</v>
      </c>
      <c r="AX97">
        <v>4900696.5</v>
      </c>
      <c r="AY97">
        <v>1256.63706143591</v>
      </c>
      <c r="AZ97">
        <v>125663.706143591</v>
      </c>
      <c r="BA97">
        <v>6.3661999999999998E-3</v>
      </c>
      <c r="BB97">
        <v>7.9580000000000004E-4</v>
      </c>
      <c r="BC97">
        <v>7.1560000000000005E-4</v>
      </c>
      <c r="BD97">
        <v>-0.2376094</v>
      </c>
      <c r="BE97">
        <v>-0.2431798</v>
      </c>
      <c r="BF97">
        <v>-0.24326</v>
      </c>
    </row>
    <row r="98" spans="1:58">
      <c r="A98">
        <v>708</v>
      </c>
      <c r="B98" t="s">
        <v>164</v>
      </c>
      <c r="C98" t="s">
        <v>131</v>
      </c>
      <c r="G98" s="23">
        <v>43668</v>
      </c>
      <c r="H98">
        <v>2</v>
      </c>
      <c r="I98">
        <v>1117</v>
      </c>
      <c r="J98">
        <v>7</v>
      </c>
      <c r="K98">
        <v>8</v>
      </c>
      <c r="L98">
        <v>6</v>
      </c>
      <c r="M98">
        <v>8</v>
      </c>
      <c r="N98">
        <v>0.69599999999999995</v>
      </c>
      <c r="O98">
        <v>0.79400000000000004</v>
      </c>
      <c r="P98">
        <v>0.59799999999999998</v>
      </c>
      <c r="Q98">
        <v>0.79400000000000004</v>
      </c>
      <c r="R98">
        <v>-123.027359</v>
      </c>
      <c r="S98">
        <v>44.432453199999998</v>
      </c>
      <c r="T98">
        <v>7.25</v>
      </c>
      <c r="U98">
        <v>0.84588240000000003</v>
      </c>
      <c r="V98">
        <v>0.39760440000000002</v>
      </c>
      <c r="W98">
        <v>497822.4375</v>
      </c>
      <c r="X98">
        <v>4919906.5</v>
      </c>
      <c r="Y98">
        <v>0</v>
      </c>
      <c r="AA98">
        <v>5</v>
      </c>
      <c r="AB98">
        <v>0</v>
      </c>
      <c r="AC98">
        <v>0.5</v>
      </c>
      <c r="AD98">
        <v>0</v>
      </c>
      <c r="AE98">
        <v>6</v>
      </c>
      <c r="AF98">
        <v>1.01355E-2</v>
      </c>
      <c r="AG98">
        <v>0.59799999999999998</v>
      </c>
      <c r="AH98">
        <v>0</v>
      </c>
      <c r="AI98">
        <v>31.052177400000001</v>
      </c>
      <c r="AJ98">
        <v>1.5915E-3</v>
      </c>
      <c r="AK98">
        <v>0</v>
      </c>
      <c r="AL98">
        <v>0.32352239999999999</v>
      </c>
      <c r="AM98">
        <v>1</v>
      </c>
      <c r="AN98">
        <v>1</v>
      </c>
      <c r="AO98">
        <v>94</v>
      </c>
      <c r="AP98">
        <v>94</v>
      </c>
      <c r="AQ98">
        <v>1117</v>
      </c>
      <c r="AR98">
        <v>816</v>
      </c>
      <c r="AS98">
        <v>2025</v>
      </c>
      <c r="AT98" s="23">
        <v>45813</v>
      </c>
      <c r="AU98" s="23" t="s">
        <v>153</v>
      </c>
      <c r="AV98">
        <v>0</v>
      </c>
      <c r="AW98">
        <v>497822.429999999</v>
      </c>
      <c r="AX98">
        <v>4919906.5</v>
      </c>
      <c r="AY98">
        <v>1256.63706143591</v>
      </c>
      <c r="AZ98">
        <v>125663.706143591</v>
      </c>
      <c r="BA98">
        <v>7.9580000000000004E-4</v>
      </c>
      <c r="BB98">
        <v>5.7399999999999997E-4</v>
      </c>
      <c r="BC98">
        <v>1.0143999999999999E-3</v>
      </c>
      <c r="BD98">
        <v>-0.32272659999999997</v>
      </c>
      <c r="BE98">
        <v>-0.32294840000000002</v>
      </c>
      <c r="BF98">
        <v>-0.32250790000000001</v>
      </c>
    </row>
    <row r="99" spans="1:58">
      <c r="A99">
        <v>1450</v>
      </c>
      <c r="B99" t="s">
        <v>165</v>
      </c>
      <c r="C99" t="s">
        <v>88</v>
      </c>
      <c r="G99" s="23">
        <v>43668</v>
      </c>
      <c r="H99">
        <v>2</v>
      </c>
      <c r="I99">
        <v>1740</v>
      </c>
      <c r="J99">
        <v>6</v>
      </c>
      <c r="K99">
        <v>6</v>
      </c>
      <c r="L99">
        <v>8</v>
      </c>
      <c r="M99">
        <v>8</v>
      </c>
      <c r="N99">
        <v>0.59799999999999998</v>
      </c>
      <c r="O99">
        <v>0.59799999999999998</v>
      </c>
      <c r="P99">
        <v>0.79400000000000004</v>
      </c>
      <c r="Q99">
        <v>0.79400000000000004</v>
      </c>
      <c r="R99">
        <v>-122.99179839999999</v>
      </c>
      <c r="S99">
        <v>44.3992729</v>
      </c>
      <c r="T99">
        <v>7</v>
      </c>
      <c r="U99">
        <v>0.81705879999999997</v>
      </c>
      <c r="V99">
        <v>6.9899999999999997E-4</v>
      </c>
      <c r="W99">
        <v>500653.125</v>
      </c>
      <c r="X99">
        <v>4916221</v>
      </c>
      <c r="Y99">
        <v>0</v>
      </c>
      <c r="AA99">
        <v>3</v>
      </c>
      <c r="AB99">
        <v>0</v>
      </c>
      <c r="AC99">
        <v>0.30399999999999999</v>
      </c>
      <c r="AD99">
        <v>0</v>
      </c>
      <c r="AE99">
        <v>8</v>
      </c>
      <c r="AF99">
        <v>0.1984272</v>
      </c>
      <c r="AG99">
        <v>0.79400000000000004</v>
      </c>
      <c r="AH99">
        <v>0</v>
      </c>
      <c r="AI99">
        <v>31.052177400000001</v>
      </c>
      <c r="AJ99">
        <v>0.1614728</v>
      </c>
      <c r="AK99">
        <v>1</v>
      </c>
      <c r="AL99">
        <v>0.17586399999999999</v>
      </c>
      <c r="AM99">
        <v>1</v>
      </c>
      <c r="AN99">
        <v>1</v>
      </c>
      <c r="AO99">
        <v>95</v>
      </c>
      <c r="AP99">
        <v>95</v>
      </c>
      <c r="AQ99">
        <v>1740</v>
      </c>
      <c r="AR99">
        <v>817</v>
      </c>
      <c r="AS99">
        <v>2025</v>
      </c>
      <c r="AT99" s="23">
        <v>45813</v>
      </c>
      <c r="AU99" s="23" t="s">
        <v>153</v>
      </c>
      <c r="AV99">
        <v>0</v>
      </c>
      <c r="AW99">
        <v>500653.11999999901</v>
      </c>
      <c r="AX99">
        <v>4916221</v>
      </c>
      <c r="AY99">
        <v>1256.63706143591</v>
      </c>
      <c r="AZ99">
        <v>125663.706143591</v>
      </c>
      <c r="BA99">
        <v>0.18340429999999999</v>
      </c>
      <c r="BB99">
        <v>0.18181269999999999</v>
      </c>
      <c r="BC99">
        <v>0.18897530000000001</v>
      </c>
      <c r="BD99">
        <v>7.5404000000000001E-3</v>
      </c>
      <c r="BE99">
        <v>5.9487999999999997E-3</v>
      </c>
      <c r="BF99">
        <v>1.31114E-2</v>
      </c>
    </row>
    <row r="100" spans="1:58">
      <c r="A100">
        <v>2716</v>
      </c>
      <c r="B100" t="s">
        <v>166</v>
      </c>
      <c r="C100" t="s">
        <v>88</v>
      </c>
      <c r="G100" s="23">
        <v>43668</v>
      </c>
      <c r="H100">
        <v>2</v>
      </c>
      <c r="I100">
        <v>2792</v>
      </c>
      <c r="J100">
        <v>6</v>
      </c>
      <c r="K100">
        <v>7</v>
      </c>
      <c r="L100">
        <v>6</v>
      </c>
      <c r="M100">
        <v>8</v>
      </c>
      <c r="N100">
        <v>0.59799999999999998</v>
      </c>
      <c r="O100">
        <v>0.69599999999999995</v>
      </c>
      <c r="P100">
        <v>0.59799999999999998</v>
      </c>
      <c r="Q100">
        <v>0.79400000000000004</v>
      </c>
      <c r="R100">
        <v>-123.0129013</v>
      </c>
      <c r="S100">
        <v>44.352191900000001</v>
      </c>
      <c r="T100">
        <v>6.75</v>
      </c>
      <c r="U100">
        <v>0.78823529999999997</v>
      </c>
      <c r="V100">
        <v>0.30110019999999998</v>
      </c>
      <c r="W100">
        <v>498971.71875</v>
      </c>
      <c r="X100">
        <v>4910991</v>
      </c>
      <c r="Y100">
        <v>0</v>
      </c>
      <c r="AA100">
        <v>5</v>
      </c>
      <c r="AB100">
        <v>1.0954999999999999E-3</v>
      </c>
      <c r="AC100">
        <v>0.5</v>
      </c>
      <c r="AD100">
        <v>0</v>
      </c>
      <c r="AE100">
        <v>5</v>
      </c>
      <c r="AF100">
        <v>5.4889999999999995E-4</v>
      </c>
      <c r="AG100">
        <v>0.5</v>
      </c>
      <c r="AH100">
        <v>1</v>
      </c>
      <c r="AI100">
        <v>31.052177400000001</v>
      </c>
      <c r="AJ100">
        <v>2.3873000000000002E-3</v>
      </c>
      <c r="AK100">
        <v>1</v>
      </c>
      <c r="AL100">
        <v>0.15864349999999999</v>
      </c>
      <c r="AM100">
        <v>1</v>
      </c>
      <c r="AN100">
        <v>1</v>
      </c>
      <c r="AO100">
        <v>99</v>
      </c>
      <c r="AP100">
        <v>99</v>
      </c>
      <c r="AQ100">
        <v>2792</v>
      </c>
      <c r="AR100">
        <v>821</v>
      </c>
      <c r="AS100">
        <v>2025</v>
      </c>
      <c r="AT100" s="23">
        <v>45813</v>
      </c>
      <c r="AU100" s="23" t="s">
        <v>153</v>
      </c>
      <c r="AV100">
        <v>0</v>
      </c>
      <c r="AW100">
        <v>498971.71</v>
      </c>
      <c r="AX100">
        <v>4910991</v>
      </c>
      <c r="AY100">
        <v>1256.63706143591</v>
      </c>
      <c r="AZ100">
        <v>125663.706143591</v>
      </c>
      <c r="BA100">
        <v>0.23256950000000001</v>
      </c>
      <c r="BB100">
        <v>1.27324E-2</v>
      </c>
      <c r="BC100">
        <v>1.5915E-3</v>
      </c>
      <c r="BD100">
        <v>7.3926000000000006E-2</v>
      </c>
      <c r="BE100">
        <v>-0.14591109999999999</v>
      </c>
      <c r="BF100">
        <v>-0.15705189999999999</v>
      </c>
    </row>
    <row r="101" spans="1:58">
      <c r="A101">
        <v>3897</v>
      </c>
      <c r="B101" t="s">
        <v>167</v>
      </c>
      <c r="C101" t="s">
        <v>88</v>
      </c>
      <c r="G101" s="23">
        <v>43668</v>
      </c>
      <c r="H101">
        <v>3</v>
      </c>
      <c r="I101">
        <v>3707</v>
      </c>
      <c r="J101">
        <v>5</v>
      </c>
      <c r="K101">
        <v>5</v>
      </c>
      <c r="L101">
        <v>7</v>
      </c>
      <c r="M101">
        <v>6</v>
      </c>
      <c r="N101">
        <v>0.5</v>
      </c>
      <c r="O101">
        <v>0.5</v>
      </c>
      <c r="P101">
        <v>0.69599999999999995</v>
      </c>
      <c r="Q101">
        <v>0.59799999999999998</v>
      </c>
      <c r="R101">
        <v>-123.1728134</v>
      </c>
      <c r="S101">
        <v>44.231506299999999</v>
      </c>
      <c r="T101">
        <v>5.75</v>
      </c>
      <c r="U101">
        <v>0.67294109999999996</v>
      </c>
      <c r="V101">
        <v>0</v>
      </c>
      <c r="W101">
        <v>486198.84375</v>
      </c>
      <c r="X101">
        <v>4897600.5</v>
      </c>
      <c r="Y101">
        <v>0</v>
      </c>
      <c r="AA101">
        <v>6</v>
      </c>
      <c r="AB101">
        <v>2.1570999999999999E-3</v>
      </c>
      <c r="AC101">
        <v>0.59799999999999998</v>
      </c>
      <c r="AD101">
        <v>0</v>
      </c>
      <c r="AE101">
        <v>8</v>
      </c>
      <c r="AF101">
        <v>0.25802049999999999</v>
      </c>
      <c r="AG101">
        <v>0.79400000000000004</v>
      </c>
      <c r="AH101">
        <v>0</v>
      </c>
      <c r="AI101">
        <v>31.052177400000001</v>
      </c>
      <c r="AJ101">
        <v>0.28112870000000001</v>
      </c>
      <c r="AK101">
        <v>1</v>
      </c>
      <c r="AL101">
        <v>0.24128250000000001</v>
      </c>
      <c r="AM101">
        <v>1</v>
      </c>
      <c r="AN101">
        <v>1</v>
      </c>
      <c r="AO101">
        <v>102</v>
      </c>
      <c r="AP101">
        <v>102</v>
      </c>
      <c r="AQ101">
        <v>3707</v>
      </c>
      <c r="AR101">
        <v>824</v>
      </c>
      <c r="AS101">
        <v>2025</v>
      </c>
      <c r="AT101" s="23">
        <v>45813</v>
      </c>
      <c r="AU101" s="23" t="s">
        <v>153</v>
      </c>
      <c r="AV101">
        <v>0</v>
      </c>
      <c r="AW101">
        <v>486198.84</v>
      </c>
      <c r="AX101">
        <v>4897600.5</v>
      </c>
      <c r="AY101">
        <v>1256.63706143591</v>
      </c>
      <c r="AZ101">
        <v>125663.706143591</v>
      </c>
      <c r="BA101">
        <v>2.3873000000000002E-3</v>
      </c>
      <c r="BB101">
        <v>7.9580000000000004E-4</v>
      </c>
      <c r="BC101">
        <v>0.32540790000000003</v>
      </c>
      <c r="BD101">
        <v>-0.2388952</v>
      </c>
      <c r="BE101">
        <v>-0.2404867</v>
      </c>
      <c r="BF101">
        <v>8.4125400000000003E-2</v>
      </c>
    </row>
    <row r="102" spans="1:58">
      <c r="A102">
        <v>5293</v>
      </c>
      <c r="B102" t="s">
        <v>168</v>
      </c>
      <c r="C102" t="s">
        <v>98</v>
      </c>
      <c r="G102" s="23">
        <v>43668</v>
      </c>
      <c r="H102">
        <v>3</v>
      </c>
      <c r="I102">
        <v>4732</v>
      </c>
      <c r="J102">
        <v>6</v>
      </c>
      <c r="K102">
        <v>8</v>
      </c>
      <c r="L102">
        <v>8</v>
      </c>
      <c r="M102">
        <v>6</v>
      </c>
      <c r="N102">
        <v>0.59799999999999998</v>
      </c>
      <c r="O102">
        <v>0.79400000000000004</v>
      </c>
      <c r="P102">
        <v>0.79400000000000004</v>
      </c>
      <c r="Q102">
        <v>0.59799999999999998</v>
      </c>
      <c r="R102">
        <v>-123.19911190000001</v>
      </c>
      <c r="S102">
        <v>44.244308500000002</v>
      </c>
      <c r="T102">
        <v>7</v>
      </c>
      <c r="U102">
        <v>0.81705879999999997</v>
      </c>
      <c r="V102">
        <v>0</v>
      </c>
      <c r="W102">
        <v>484101.9375</v>
      </c>
      <c r="X102">
        <v>4899027.5</v>
      </c>
      <c r="Y102">
        <v>1</v>
      </c>
      <c r="Z102">
        <v>0</v>
      </c>
      <c r="AA102">
        <v>4</v>
      </c>
      <c r="AB102">
        <v>0</v>
      </c>
      <c r="AC102">
        <v>0.40200000000000002</v>
      </c>
      <c r="AD102">
        <v>0</v>
      </c>
      <c r="AE102">
        <v>8</v>
      </c>
      <c r="AF102">
        <v>0.29092459999999998</v>
      </c>
      <c r="AG102">
        <v>0.79400000000000004</v>
      </c>
      <c r="AH102">
        <v>0</v>
      </c>
      <c r="AI102">
        <v>31.052177400000001</v>
      </c>
      <c r="AJ102">
        <v>1E-4</v>
      </c>
      <c r="AK102">
        <v>0</v>
      </c>
      <c r="AL102">
        <v>0.28555429999999998</v>
      </c>
      <c r="AM102">
        <v>1</v>
      </c>
      <c r="AN102">
        <v>1</v>
      </c>
      <c r="AO102">
        <v>103</v>
      </c>
      <c r="AP102">
        <v>103</v>
      </c>
      <c r="AQ102">
        <v>4732</v>
      </c>
      <c r="AR102">
        <v>825</v>
      </c>
      <c r="AS102">
        <v>2025</v>
      </c>
      <c r="AT102" s="23">
        <v>45813</v>
      </c>
      <c r="AU102" s="23" t="s">
        <v>153</v>
      </c>
      <c r="AV102">
        <v>0</v>
      </c>
      <c r="AW102">
        <v>484101.929999999</v>
      </c>
      <c r="AX102">
        <v>4899027.5</v>
      </c>
      <c r="AY102">
        <v>1256.63706143591</v>
      </c>
      <c r="AZ102">
        <v>125663.706143591</v>
      </c>
      <c r="BA102">
        <v>0.31185610000000002</v>
      </c>
      <c r="BB102">
        <v>0.37788500000000003</v>
      </c>
      <c r="BC102">
        <v>7.9580000000000004E-4</v>
      </c>
      <c r="BD102">
        <v>2.63018E-2</v>
      </c>
      <c r="BE102">
        <v>9.2330700000000002E-2</v>
      </c>
      <c r="BF102">
        <v>-0.28475850000000003</v>
      </c>
    </row>
    <row r="103" spans="1:58">
      <c r="A103">
        <v>5594</v>
      </c>
      <c r="B103" t="s">
        <v>169</v>
      </c>
      <c r="C103" t="s">
        <v>88</v>
      </c>
      <c r="G103" s="23">
        <v>43668</v>
      </c>
      <c r="H103">
        <v>2</v>
      </c>
      <c r="I103">
        <v>4981</v>
      </c>
      <c r="J103">
        <v>6</v>
      </c>
      <c r="K103">
        <v>7</v>
      </c>
      <c r="L103">
        <v>8</v>
      </c>
      <c r="M103">
        <v>7</v>
      </c>
      <c r="N103">
        <v>0.59799999999999998</v>
      </c>
      <c r="O103">
        <v>0.69599999999999995</v>
      </c>
      <c r="P103">
        <v>0.79400000000000004</v>
      </c>
      <c r="Q103">
        <v>0.69599999999999995</v>
      </c>
      <c r="R103">
        <v>-122.9447632</v>
      </c>
      <c r="S103">
        <v>44.375331899999999</v>
      </c>
      <c r="T103">
        <v>7</v>
      </c>
      <c r="U103">
        <v>0.81705879999999997</v>
      </c>
      <c r="V103">
        <v>0.11485389999999999</v>
      </c>
      <c r="W103">
        <v>504400.46875</v>
      </c>
      <c r="X103">
        <v>4913563</v>
      </c>
      <c r="Y103">
        <v>0</v>
      </c>
      <c r="AA103">
        <v>3</v>
      </c>
      <c r="AB103">
        <v>0</v>
      </c>
      <c r="AC103">
        <v>0.30399999999999999</v>
      </c>
      <c r="AD103">
        <v>0</v>
      </c>
      <c r="AE103">
        <v>8</v>
      </c>
      <c r="AF103">
        <v>0.22336439999999999</v>
      </c>
      <c r="AG103">
        <v>0.79400000000000004</v>
      </c>
      <c r="AH103">
        <v>0</v>
      </c>
      <c r="AI103">
        <v>31.052177400000001</v>
      </c>
      <c r="AJ103">
        <v>1.27324E-2</v>
      </c>
      <c r="AK103">
        <v>1</v>
      </c>
      <c r="AL103">
        <v>0.34244960000000002</v>
      </c>
      <c r="AM103">
        <v>1</v>
      </c>
      <c r="AN103">
        <v>1</v>
      </c>
      <c r="AO103">
        <v>98</v>
      </c>
      <c r="AP103">
        <v>98</v>
      </c>
      <c r="AQ103">
        <v>4981</v>
      </c>
      <c r="AR103">
        <v>820</v>
      </c>
      <c r="AS103">
        <v>2025</v>
      </c>
      <c r="AT103" s="23">
        <v>45813</v>
      </c>
      <c r="AU103" s="23" t="s">
        <v>153</v>
      </c>
      <c r="AV103">
        <v>1</v>
      </c>
      <c r="AW103">
        <v>504400.46</v>
      </c>
      <c r="AX103">
        <v>4913563</v>
      </c>
      <c r="AY103">
        <v>1256.63706143591</v>
      </c>
      <c r="AZ103">
        <v>125663.706143591</v>
      </c>
      <c r="BA103">
        <v>0.1258976</v>
      </c>
      <c r="BB103">
        <v>7.6064900000000005E-2</v>
      </c>
      <c r="BC103">
        <v>7.5185299999999997E-2</v>
      </c>
      <c r="BD103">
        <v>-0.21655199999999999</v>
      </c>
      <c r="BE103">
        <v>-0.26638469999999997</v>
      </c>
      <c r="BF103">
        <v>-0.26726430000000001</v>
      </c>
    </row>
    <row r="104" spans="1:58">
      <c r="A104">
        <v>6047</v>
      </c>
      <c r="B104" t="s">
        <v>170</v>
      </c>
      <c r="C104" t="s">
        <v>98</v>
      </c>
      <c r="G104" s="23">
        <v>43668</v>
      </c>
      <c r="H104">
        <v>2</v>
      </c>
      <c r="I104">
        <v>5276</v>
      </c>
      <c r="J104">
        <v>6</v>
      </c>
      <c r="K104">
        <v>8</v>
      </c>
      <c r="L104">
        <v>8</v>
      </c>
      <c r="M104">
        <v>8</v>
      </c>
      <c r="N104">
        <v>0.59799999999999998</v>
      </c>
      <c r="O104">
        <v>0.79400000000000004</v>
      </c>
      <c r="P104">
        <v>0.79400000000000004</v>
      </c>
      <c r="Q104">
        <v>0.79400000000000004</v>
      </c>
      <c r="R104">
        <v>-122.90290830000001</v>
      </c>
      <c r="S104">
        <v>44.373016399999997</v>
      </c>
      <c r="T104">
        <v>7.5</v>
      </c>
      <c r="U104">
        <v>0.87470590000000004</v>
      </c>
      <c r="V104">
        <v>0.46403759999999999</v>
      </c>
      <c r="W104">
        <v>507735.1875</v>
      </c>
      <c r="X104">
        <v>4913309</v>
      </c>
      <c r="Y104">
        <v>0</v>
      </c>
      <c r="AA104">
        <v>5</v>
      </c>
      <c r="AB104">
        <v>4.1590000000000003E-4</v>
      </c>
      <c r="AC104">
        <v>0.5</v>
      </c>
      <c r="AD104">
        <v>0</v>
      </c>
      <c r="AE104">
        <v>4</v>
      </c>
      <c r="AF104">
        <v>0</v>
      </c>
      <c r="AG104">
        <v>0.40200000000000002</v>
      </c>
      <c r="AH104">
        <v>0</v>
      </c>
      <c r="AI104">
        <v>31.052177400000001</v>
      </c>
      <c r="AJ104">
        <v>1E-4</v>
      </c>
      <c r="AK104">
        <v>0</v>
      </c>
      <c r="AL104">
        <v>0.37765349999999998</v>
      </c>
      <c r="AM104">
        <v>1</v>
      </c>
      <c r="AN104">
        <v>1</v>
      </c>
      <c r="AO104">
        <v>97</v>
      </c>
      <c r="AP104">
        <v>97</v>
      </c>
      <c r="AQ104">
        <v>5276</v>
      </c>
      <c r="AR104">
        <v>819</v>
      </c>
      <c r="AS104">
        <v>2025</v>
      </c>
      <c r="AT104" s="23">
        <v>45813</v>
      </c>
      <c r="AU104" s="23" t="s">
        <v>153</v>
      </c>
      <c r="AV104">
        <v>0</v>
      </c>
      <c r="AW104">
        <v>507735.179999999</v>
      </c>
      <c r="AX104">
        <v>4913309</v>
      </c>
      <c r="AY104">
        <v>1256.63706143591</v>
      </c>
      <c r="AZ104">
        <v>125663.706143591</v>
      </c>
      <c r="BA104">
        <v>1.5915E-3</v>
      </c>
      <c r="BB104">
        <v>7.9580000000000004E-4</v>
      </c>
      <c r="BC104">
        <v>7.9580000000000004E-4</v>
      </c>
      <c r="BD104">
        <v>-0.3760619</v>
      </c>
      <c r="BE104">
        <v>-0.37685770000000002</v>
      </c>
      <c r="BF104">
        <v>-0.37685770000000002</v>
      </c>
    </row>
    <row r="105" spans="1:58">
      <c r="A105">
        <v>6749</v>
      </c>
      <c r="B105" t="s">
        <v>163</v>
      </c>
      <c r="C105" t="s">
        <v>86</v>
      </c>
      <c r="G105" s="23">
        <v>43668</v>
      </c>
      <c r="H105">
        <v>2</v>
      </c>
      <c r="I105">
        <v>5774</v>
      </c>
      <c r="J105">
        <v>6</v>
      </c>
      <c r="K105">
        <v>6</v>
      </c>
      <c r="L105">
        <v>8</v>
      </c>
      <c r="M105">
        <v>8</v>
      </c>
      <c r="N105">
        <v>0.59799999999999998</v>
      </c>
      <c r="O105">
        <v>0.59799999999999998</v>
      </c>
      <c r="P105">
        <v>0.79400000000000004</v>
      </c>
      <c r="Q105">
        <v>0.79400000000000004</v>
      </c>
      <c r="R105">
        <v>-123.068428</v>
      </c>
      <c r="S105">
        <v>44.226165799999997</v>
      </c>
      <c r="T105">
        <v>7</v>
      </c>
      <c r="U105">
        <v>0.81705879999999997</v>
      </c>
      <c r="V105">
        <v>0.1867443</v>
      </c>
      <c r="W105">
        <v>494534.65625</v>
      </c>
      <c r="X105">
        <v>4896995.5</v>
      </c>
      <c r="Y105">
        <v>0</v>
      </c>
      <c r="AA105">
        <v>6</v>
      </c>
      <c r="AB105">
        <v>5.5119999999999995E-4</v>
      </c>
      <c r="AC105">
        <v>0.59799999999999998</v>
      </c>
      <c r="AD105">
        <v>1</v>
      </c>
      <c r="AE105">
        <v>6</v>
      </c>
      <c r="AF105">
        <v>2.7206999999999999E-3</v>
      </c>
      <c r="AG105">
        <v>0.59799999999999998</v>
      </c>
      <c r="AH105">
        <v>1</v>
      </c>
      <c r="AI105">
        <v>31.052177400000001</v>
      </c>
      <c r="AJ105">
        <v>7.9580000000000004E-4</v>
      </c>
      <c r="AK105">
        <v>0</v>
      </c>
      <c r="AL105">
        <v>0.2176901</v>
      </c>
      <c r="AM105">
        <v>1</v>
      </c>
      <c r="AN105">
        <v>1</v>
      </c>
      <c r="AO105">
        <v>100</v>
      </c>
      <c r="AP105">
        <v>100</v>
      </c>
      <c r="AQ105">
        <v>5774</v>
      </c>
      <c r="AR105">
        <v>822</v>
      </c>
      <c r="AS105">
        <v>2025</v>
      </c>
      <c r="AT105" s="23">
        <v>45813</v>
      </c>
      <c r="AU105" s="23" t="s">
        <v>153</v>
      </c>
      <c r="AV105">
        <v>1</v>
      </c>
      <c r="AW105">
        <v>494534.65</v>
      </c>
      <c r="AX105">
        <v>4896995.5</v>
      </c>
      <c r="AY105">
        <v>1256.63706143591</v>
      </c>
      <c r="AZ105">
        <v>125663.706143591</v>
      </c>
      <c r="BA105">
        <v>2.3873000000000002E-3</v>
      </c>
      <c r="BB105">
        <v>3.1830999999999999E-3</v>
      </c>
      <c r="BC105">
        <v>3.1830999999999999E-3</v>
      </c>
      <c r="BD105">
        <v>-0.21530279999999999</v>
      </c>
      <c r="BE105">
        <v>-0.214507</v>
      </c>
      <c r="BF105">
        <v>-0.214507</v>
      </c>
    </row>
    <row r="106" spans="1:58">
      <c r="A106">
        <v>168</v>
      </c>
      <c r="B106" t="s">
        <v>171</v>
      </c>
      <c r="C106" t="s">
        <v>86</v>
      </c>
      <c r="G106" s="23">
        <v>43668</v>
      </c>
      <c r="H106">
        <v>2</v>
      </c>
      <c r="I106">
        <v>671</v>
      </c>
      <c r="J106">
        <v>5</v>
      </c>
      <c r="K106">
        <v>8</v>
      </c>
      <c r="L106">
        <v>8</v>
      </c>
      <c r="M106">
        <v>8</v>
      </c>
      <c r="N106">
        <v>0.5</v>
      </c>
      <c r="O106">
        <v>0.79400000000000004</v>
      </c>
      <c r="P106">
        <v>0.79400000000000004</v>
      </c>
      <c r="Q106">
        <v>0.79400000000000004</v>
      </c>
      <c r="R106">
        <v>-123.0796127</v>
      </c>
      <c r="S106">
        <v>44.499019599999997</v>
      </c>
      <c r="T106">
        <v>7.25</v>
      </c>
      <c r="U106">
        <v>0.84588240000000003</v>
      </c>
      <c r="V106">
        <v>0.20099919999999999</v>
      </c>
      <c r="W106">
        <v>493670.65625</v>
      </c>
      <c r="X106">
        <v>4927303.5</v>
      </c>
      <c r="Y106">
        <v>0</v>
      </c>
      <c r="AA106">
        <v>5</v>
      </c>
      <c r="AB106">
        <v>0</v>
      </c>
      <c r="AC106">
        <v>0.5</v>
      </c>
      <c r="AD106">
        <v>0</v>
      </c>
      <c r="AE106">
        <v>4</v>
      </c>
      <c r="AF106">
        <v>0</v>
      </c>
      <c r="AG106">
        <v>0.40200000000000002</v>
      </c>
      <c r="AH106">
        <v>0</v>
      </c>
      <c r="AI106">
        <v>31.052177400000001</v>
      </c>
      <c r="AJ106">
        <v>1E-4</v>
      </c>
      <c r="AK106">
        <v>0</v>
      </c>
      <c r="AL106">
        <v>0.2464606</v>
      </c>
      <c r="AM106">
        <v>1</v>
      </c>
      <c r="AN106">
        <v>1</v>
      </c>
      <c r="AO106">
        <v>93</v>
      </c>
      <c r="AP106">
        <v>93</v>
      </c>
      <c r="AQ106">
        <v>671</v>
      </c>
      <c r="AR106">
        <v>815</v>
      </c>
      <c r="AS106">
        <v>2025</v>
      </c>
      <c r="AT106" s="23">
        <v>45814</v>
      </c>
      <c r="AU106" s="23" t="s">
        <v>153</v>
      </c>
      <c r="AV106">
        <v>3</v>
      </c>
      <c r="AW106">
        <v>493670.65</v>
      </c>
      <c r="AX106">
        <v>4927303.5</v>
      </c>
      <c r="AY106">
        <v>1256.63706143591</v>
      </c>
      <c r="AZ106">
        <v>125663.706143591</v>
      </c>
      <c r="BA106">
        <v>2.8538000000000001E-3</v>
      </c>
      <c r="BB106">
        <v>7.9580000000000004E-4</v>
      </c>
      <c r="BC106">
        <v>7.9580000000000004E-4</v>
      </c>
      <c r="BD106">
        <v>-0.24360680000000001</v>
      </c>
      <c r="BE106">
        <v>-0.24566479999999999</v>
      </c>
      <c r="BF106">
        <v>-0.24566479999999999</v>
      </c>
    </row>
    <row r="107" spans="1:58">
      <c r="A107">
        <v>1001</v>
      </c>
      <c r="G107" s="23">
        <v>43668</v>
      </c>
      <c r="H107">
        <v>2</v>
      </c>
      <c r="I107">
        <v>1356</v>
      </c>
      <c r="J107">
        <v>8</v>
      </c>
      <c r="K107">
        <v>8</v>
      </c>
      <c r="L107">
        <v>6</v>
      </c>
      <c r="M107">
        <v>8</v>
      </c>
      <c r="N107">
        <v>0.79400000000000004</v>
      </c>
      <c r="O107">
        <v>0.79400000000000004</v>
      </c>
      <c r="P107">
        <v>0.59799999999999998</v>
      </c>
      <c r="Q107">
        <v>0.79400000000000004</v>
      </c>
      <c r="R107">
        <v>-123.10002900000001</v>
      </c>
      <c r="S107">
        <v>44.467556000000002</v>
      </c>
      <c r="T107">
        <v>7.5</v>
      </c>
      <c r="U107">
        <v>0.87470590000000004</v>
      </c>
      <c r="V107">
        <v>5.7470899999999998E-2</v>
      </c>
      <c r="W107">
        <v>492043.46875</v>
      </c>
      <c r="X107">
        <v>4923810</v>
      </c>
      <c r="Y107">
        <v>0</v>
      </c>
      <c r="AA107">
        <v>4</v>
      </c>
      <c r="AB107">
        <v>0</v>
      </c>
      <c r="AC107">
        <v>0.40200000000000002</v>
      </c>
      <c r="AD107">
        <v>0</v>
      </c>
      <c r="AE107">
        <v>7</v>
      </c>
      <c r="AF107">
        <v>0.11623600000000001</v>
      </c>
      <c r="AG107">
        <v>0.69599999999999995</v>
      </c>
      <c r="AH107">
        <v>1</v>
      </c>
      <c r="AI107">
        <v>31.052177400000001</v>
      </c>
      <c r="AJ107">
        <v>2.1214299999999998E-2</v>
      </c>
      <c r="AK107">
        <v>1</v>
      </c>
      <c r="AL107">
        <v>0.24879599999999999</v>
      </c>
      <c r="AM107">
        <v>1</v>
      </c>
      <c r="AN107">
        <v>1</v>
      </c>
      <c r="AO107">
        <v>92</v>
      </c>
      <c r="AP107">
        <v>92</v>
      </c>
      <c r="AQ107">
        <v>1356</v>
      </c>
      <c r="AR107">
        <v>814</v>
      </c>
      <c r="AS107">
        <v>2025</v>
      </c>
      <c r="AT107" s="23">
        <v>45814</v>
      </c>
      <c r="AU107" s="23" t="s">
        <v>153</v>
      </c>
      <c r="AV107">
        <v>4</v>
      </c>
      <c r="AW107">
        <v>492043.46</v>
      </c>
      <c r="AX107">
        <v>4923810</v>
      </c>
      <c r="AY107">
        <v>1256.63706143591</v>
      </c>
      <c r="AZ107">
        <v>125663.706143591</v>
      </c>
      <c r="BA107">
        <v>7.9580000000000004E-4</v>
      </c>
      <c r="BB107">
        <v>1.1949E-3</v>
      </c>
      <c r="BC107">
        <v>1.18215E-2</v>
      </c>
      <c r="BD107">
        <v>-0.2480002</v>
      </c>
      <c r="BE107">
        <v>-0.24760109999999999</v>
      </c>
      <c r="BF107">
        <v>-0.2369745</v>
      </c>
    </row>
    <row r="108" spans="1:58">
      <c r="A108">
        <v>1003</v>
      </c>
      <c r="B108" t="s">
        <v>172</v>
      </c>
      <c r="C108" t="s">
        <v>86</v>
      </c>
      <c r="D108" t="s">
        <v>137</v>
      </c>
      <c r="G108" s="23">
        <v>43668</v>
      </c>
      <c r="H108">
        <v>1</v>
      </c>
      <c r="I108">
        <v>1358</v>
      </c>
      <c r="J108">
        <v>7</v>
      </c>
      <c r="K108">
        <v>7</v>
      </c>
      <c r="L108">
        <v>8</v>
      </c>
      <c r="M108">
        <v>8</v>
      </c>
      <c r="N108">
        <v>0.69599999999999995</v>
      </c>
      <c r="O108">
        <v>0.69599999999999995</v>
      </c>
      <c r="P108">
        <v>0.79400000000000004</v>
      </c>
      <c r="Q108">
        <v>0.79400000000000004</v>
      </c>
      <c r="R108">
        <v>-122.7642822</v>
      </c>
      <c r="S108">
        <v>45.254199999999997</v>
      </c>
      <c r="T108">
        <v>7.5</v>
      </c>
      <c r="U108">
        <v>0.87470590000000004</v>
      </c>
      <c r="V108">
        <v>0.60092760000000001</v>
      </c>
      <c r="W108">
        <v>518495.75</v>
      </c>
      <c r="X108">
        <v>5011216.5</v>
      </c>
      <c r="Y108">
        <v>0</v>
      </c>
      <c r="AA108">
        <v>7</v>
      </c>
      <c r="AB108">
        <v>0.35871750000000002</v>
      </c>
      <c r="AC108">
        <v>0.69599999999999995</v>
      </c>
      <c r="AD108">
        <v>0</v>
      </c>
      <c r="AE108">
        <v>8</v>
      </c>
      <c r="AF108">
        <v>0.42360419999999999</v>
      </c>
      <c r="AG108">
        <v>0.79400000000000004</v>
      </c>
      <c r="AH108">
        <v>0</v>
      </c>
      <c r="AI108">
        <v>31.052177400000001</v>
      </c>
      <c r="AJ108">
        <v>0.48371910000000001</v>
      </c>
      <c r="AK108">
        <v>0</v>
      </c>
      <c r="AL108">
        <v>0.46160050000000002</v>
      </c>
      <c r="AM108">
        <v>1</v>
      </c>
      <c r="AN108">
        <v>1</v>
      </c>
      <c r="AO108">
        <v>85</v>
      </c>
      <c r="AP108">
        <v>85</v>
      </c>
      <c r="AQ108">
        <v>1358</v>
      </c>
      <c r="AR108">
        <v>807</v>
      </c>
      <c r="AS108">
        <v>2025</v>
      </c>
      <c r="AT108" s="23">
        <v>45814</v>
      </c>
      <c r="AU108" s="23" t="s">
        <v>153</v>
      </c>
      <c r="AV108">
        <v>0</v>
      </c>
      <c r="AW108">
        <v>518495.75</v>
      </c>
      <c r="AX108">
        <v>5011216.5</v>
      </c>
      <c r="AY108">
        <v>1256.63706143591</v>
      </c>
      <c r="AZ108">
        <v>125663.706143591</v>
      </c>
      <c r="BA108">
        <v>4.7746000000000004E-3</v>
      </c>
      <c r="BB108">
        <v>2.3873000000000002E-3</v>
      </c>
      <c r="BC108">
        <v>1.5413E-3</v>
      </c>
      <c r="BD108">
        <v>-0.4568258</v>
      </c>
      <c r="BE108">
        <v>-0.45921319999999999</v>
      </c>
      <c r="BF108">
        <v>-0.4600592</v>
      </c>
    </row>
    <row r="109" spans="1:58">
      <c r="A109">
        <v>1774</v>
      </c>
      <c r="B109" t="s">
        <v>173</v>
      </c>
      <c r="C109" t="s">
        <v>86</v>
      </c>
      <c r="G109" s="23">
        <v>43668</v>
      </c>
      <c r="H109">
        <v>2</v>
      </c>
      <c r="I109">
        <v>1992</v>
      </c>
      <c r="J109">
        <v>8</v>
      </c>
      <c r="K109">
        <v>8</v>
      </c>
      <c r="L109">
        <v>8</v>
      </c>
      <c r="M109">
        <v>8</v>
      </c>
      <c r="N109">
        <v>0.79400000000000004</v>
      </c>
      <c r="O109">
        <v>0.79400000000000004</v>
      </c>
      <c r="P109">
        <v>0.79400000000000004</v>
      </c>
      <c r="Q109">
        <v>0.79400000000000004</v>
      </c>
      <c r="R109">
        <v>-122.9962463</v>
      </c>
      <c r="S109">
        <v>44.5101929</v>
      </c>
      <c r="T109">
        <v>8</v>
      </c>
      <c r="U109">
        <v>0.93235299999999999</v>
      </c>
      <c r="V109">
        <v>0.31870730000000003</v>
      </c>
      <c r="W109">
        <v>500298.28125</v>
      </c>
      <c r="X109">
        <v>4928541.5</v>
      </c>
      <c r="Y109">
        <v>1</v>
      </c>
      <c r="Z109">
        <v>0</v>
      </c>
      <c r="AA109">
        <v>5</v>
      </c>
      <c r="AB109">
        <v>0</v>
      </c>
      <c r="AC109">
        <v>0.5</v>
      </c>
      <c r="AD109">
        <v>1</v>
      </c>
      <c r="AE109">
        <v>4</v>
      </c>
      <c r="AF109">
        <v>0</v>
      </c>
      <c r="AG109">
        <v>0.40200000000000002</v>
      </c>
      <c r="AH109">
        <v>0</v>
      </c>
      <c r="AI109">
        <v>31.052177400000001</v>
      </c>
      <c r="AJ109">
        <v>1E-4</v>
      </c>
      <c r="AK109">
        <v>0</v>
      </c>
      <c r="AL109">
        <v>0.1512471</v>
      </c>
      <c r="AM109">
        <v>1</v>
      </c>
      <c r="AN109">
        <v>1</v>
      </c>
      <c r="AO109">
        <v>90</v>
      </c>
      <c r="AP109">
        <v>90</v>
      </c>
      <c r="AQ109">
        <v>1992</v>
      </c>
      <c r="AR109">
        <v>812</v>
      </c>
      <c r="AS109">
        <v>2025</v>
      </c>
      <c r="AT109" s="23">
        <v>45814</v>
      </c>
      <c r="AU109" s="23" t="s">
        <v>153</v>
      </c>
      <c r="AV109">
        <v>1</v>
      </c>
      <c r="AW109">
        <v>500298.28</v>
      </c>
      <c r="AX109">
        <v>4928541.5</v>
      </c>
      <c r="AY109">
        <v>1256.63706143591</v>
      </c>
      <c r="AZ109">
        <v>125663.706143591</v>
      </c>
      <c r="BA109">
        <v>0.19220690000000001</v>
      </c>
      <c r="BB109">
        <v>3.9788999999999996E-3</v>
      </c>
      <c r="BC109">
        <v>3.9064E-3</v>
      </c>
      <c r="BD109">
        <v>4.09599E-2</v>
      </c>
      <c r="BE109">
        <v>-0.14726819999999999</v>
      </c>
      <c r="BF109">
        <v>-0.14734069999999999</v>
      </c>
    </row>
    <row r="110" spans="1:58">
      <c r="A110">
        <v>2676</v>
      </c>
      <c r="B110" t="s">
        <v>174</v>
      </c>
      <c r="C110" t="s">
        <v>86</v>
      </c>
      <c r="D110" t="s">
        <v>137</v>
      </c>
      <c r="G110" s="23">
        <v>43668</v>
      </c>
      <c r="H110">
        <v>1</v>
      </c>
      <c r="I110">
        <v>2759</v>
      </c>
      <c r="J110">
        <v>6</v>
      </c>
      <c r="K110">
        <v>5</v>
      </c>
      <c r="L110">
        <v>5</v>
      </c>
      <c r="M110">
        <v>8</v>
      </c>
      <c r="N110">
        <v>0.59799999999999998</v>
      </c>
      <c r="O110">
        <v>0.5</v>
      </c>
      <c r="P110">
        <v>0.5</v>
      </c>
      <c r="Q110">
        <v>0.79400000000000004</v>
      </c>
      <c r="R110">
        <v>-122.77448269999999</v>
      </c>
      <c r="S110">
        <v>45.236339600000001</v>
      </c>
      <c r="T110">
        <v>6</v>
      </c>
      <c r="U110">
        <v>0.70176470000000002</v>
      </c>
      <c r="V110">
        <v>3.8788200000000002E-2</v>
      </c>
      <c r="W110">
        <v>517700.84375</v>
      </c>
      <c r="X110">
        <v>5009230</v>
      </c>
      <c r="Y110">
        <v>0</v>
      </c>
      <c r="AA110">
        <v>5</v>
      </c>
      <c r="AB110">
        <v>1.0153E-3</v>
      </c>
      <c r="AC110">
        <v>0.5</v>
      </c>
      <c r="AD110">
        <v>0</v>
      </c>
      <c r="AE110">
        <v>5</v>
      </c>
      <c r="AF110">
        <v>3.5184000000000001E-3</v>
      </c>
      <c r="AG110">
        <v>0.5</v>
      </c>
      <c r="AH110">
        <v>0</v>
      </c>
      <c r="AI110">
        <v>31.052177400000001</v>
      </c>
      <c r="AJ110">
        <v>4.9929099999999997E-2</v>
      </c>
      <c r="AK110">
        <v>0</v>
      </c>
      <c r="AL110">
        <v>1E-3</v>
      </c>
      <c r="AM110">
        <v>0</v>
      </c>
      <c r="AN110">
        <v>1</v>
      </c>
      <c r="AO110">
        <v>89</v>
      </c>
      <c r="AP110">
        <v>89</v>
      </c>
      <c r="AQ110">
        <v>2759</v>
      </c>
      <c r="AR110">
        <v>811</v>
      </c>
      <c r="AS110">
        <v>2025</v>
      </c>
      <c r="AT110" s="23">
        <v>45814</v>
      </c>
      <c r="AU110" s="23" t="s">
        <v>153</v>
      </c>
      <c r="AV110">
        <v>1</v>
      </c>
      <c r="AW110">
        <v>517700.84</v>
      </c>
      <c r="AX110">
        <v>5009230</v>
      </c>
      <c r="AY110">
        <v>1256.63706143591</v>
      </c>
      <c r="AZ110">
        <v>125663.706143591</v>
      </c>
      <c r="BA110">
        <v>4.5677000000000001E-3</v>
      </c>
      <c r="BB110">
        <v>7.9580000000000004E-4</v>
      </c>
      <c r="BC110">
        <v>7.9080000000000003E-4</v>
      </c>
      <c r="BD110">
        <v>3.5677E-3</v>
      </c>
      <c r="BE110">
        <v>-2.042E-4</v>
      </c>
      <c r="BF110">
        <v>-2.0919999999999999E-4</v>
      </c>
    </row>
    <row r="111" spans="1:58">
      <c r="A111">
        <v>3221</v>
      </c>
      <c r="B111" t="s">
        <v>175</v>
      </c>
      <c r="C111" t="s">
        <v>86</v>
      </c>
      <c r="G111" s="23">
        <v>43668</v>
      </c>
      <c r="H111">
        <v>1</v>
      </c>
      <c r="I111">
        <v>3171</v>
      </c>
      <c r="J111">
        <v>0</v>
      </c>
      <c r="K111">
        <v>0</v>
      </c>
      <c r="L111">
        <v>0</v>
      </c>
      <c r="M111">
        <v>0</v>
      </c>
      <c r="N111">
        <v>0.01</v>
      </c>
      <c r="O111">
        <v>0.01</v>
      </c>
      <c r="P111">
        <v>0.01</v>
      </c>
      <c r="Q111">
        <v>0.01</v>
      </c>
      <c r="R111">
        <v>-122.97838590000001</v>
      </c>
      <c r="S111">
        <v>45.573226900000002</v>
      </c>
      <c r="T111">
        <v>0</v>
      </c>
      <c r="U111">
        <v>0.01</v>
      </c>
      <c r="V111">
        <v>0</v>
      </c>
      <c r="W111">
        <v>501686.71875</v>
      </c>
      <c r="X111">
        <v>5046632</v>
      </c>
      <c r="Y111">
        <v>0</v>
      </c>
      <c r="AA111">
        <v>4</v>
      </c>
      <c r="AB111">
        <v>0</v>
      </c>
      <c r="AC111">
        <v>0.40200000000000002</v>
      </c>
      <c r="AD111">
        <v>0</v>
      </c>
      <c r="AE111">
        <v>5</v>
      </c>
      <c r="AF111">
        <v>1.6107999999999999E-3</v>
      </c>
      <c r="AG111">
        <v>0.5</v>
      </c>
      <c r="AH111">
        <v>0</v>
      </c>
      <c r="AI111">
        <v>31.052177400000001</v>
      </c>
      <c r="AJ111">
        <v>1E-4</v>
      </c>
      <c r="AK111">
        <v>0</v>
      </c>
      <c r="AL111">
        <v>0.28961419999999999</v>
      </c>
      <c r="AM111">
        <v>1</v>
      </c>
      <c r="AN111">
        <v>1</v>
      </c>
      <c r="AO111">
        <v>84</v>
      </c>
      <c r="AP111">
        <v>84</v>
      </c>
      <c r="AQ111">
        <v>3171</v>
      </c>
      <c r="AR111">
        <v>806</v>
      </c>
      <c r="AS111">
        <v>2025</v>
      </c>
      <c r="AT111" s="23">
        <v>45814</v>
      </c>
      <c r="AU111" s="23" t="s">
        <v>153</v>
      </c>
      <c r="AV111">
        <v>0</v>
      </c>
      <c r="AW111">
        <v>501686.71</v>
      </c>
      <c r="AX111">
        <v>5046632</v>
      </c>
      <c r="AY111">
        <v>1256.63706143591</v>
      </c>
      <c r="AZ111">
        <v>125663.706143591</v>
      </c>
      <c r="BA111">
        <v>0</v>
      </c>
      <c r="BB111">
        <v>0</v>
      </c>
      <c r="BC111">
        <v>7.9580000000000004E-4</v>
      </c>
      <c r="BD111">
        <v>-0.28961419999999999</v>
      </c>
      <c r="BE111">
        <v>-0.28961419999999999</v>
      </c>
      <c r="BF111">
        <v>-0.28881839999999998</v>
      </c>
    </row>
    <row r="112" spans="1:58">
      <c r="A112">
        <v>4796</v>
      </c>
      <c r="B112" t="s">
        <v>168</v>
      </c>
      <c r="C112" t="s">
        <v>98</v>
      </c>
      <c r="G112" s="23">
        <v>43668</v>
      </c>
      <c r="H112">
        <v>2</v>
      </c>
      <c r="I112">
        <v>4346</v>
      </c>
      <c r="J112">
        <v>5</v>
      </c>
      <c r="K112">
        <v>8</v>
      </c>
      <c r="L112">
        <v>8</v>
      </c>
      <c r="M112">
        <v>8</v>
      </c>
      <c r="N112">
        <v>0.5</v>
      </c>
      <c r="O112">
        <v>0.79400000000000004</v>
      </c>
      <c r="P112">
        <v>0.79400000000000004</v>
      </c>
      <c r="Q112">
        <v>0.79400000000000004</v>
      </c>
      <c r="R112">
        <v>-123.11037450000001</v>
      </c>
      <c r="S112">
        <v>44.480514499999998</v>
      </c>
      <c r="T112">
        <v>7.25</v>
      </c>
      <c r="U112">
        <v>0.84588240000000003</v>
      </c>
      <c r="V112">
        <v>1.6378799999999999E-2</v>
      </c>
      <c r="W112">
        <v>491222.53125</v>
      </c>
      <c r="X112">
        <v>4925250.5</v>
      </c>
      <c r="Y112">
        <v>0</v>
      </c>
      <c r="AA112">
        <v>2</v>
      </c>
      <c r="AB112">
        <v>0</v>
      </c>
      <c r="AC112">
        <v>0.20599999999999999</v>
      </c>
      <c r="AD112">
        <v>0</v>
      </c>
      <c r="AE112">
        <v>3</v>
      </c>
      <c r="AF112">
        <v>0</v>
      </c>
      <c r="AG112">
        <v>0.30399999999999999</v>
      </c>
      <c r="AH112">
        <v>0</v>
      </c>
      <c r="AI112">
        <v>31.052177400000001</v>
      </c>
      <c r="AJ112">
        <v>3.2590000000000001E-4</v>
      </c>
      <c r="AK112">
        <v>0</v>
      </c>
      <c r="AL112">
        <v>0.151418</v>
      </c>
      <c r="AM112">
        <v>1</v>
      </c>
      <c r="AN112">
        <v>1</v>
      </c>
      <c r="AO112">
        <v>91</v>
      </c>
      <c r="AP112">
        <v>91</v>
      </c>
      <c r="AQ112">
        <v>4346</v>
      </c>
      <c r="AR112">
        <v>813</v>
      </c>
      <c r="AS112">
        <v>2025</v>
      </c>
      <c r="AT112" s="23">
        <v>45814</v>
      </c>
      <c r="AU112" s="23" t="s">
        <v>153</v>
      </c>
      <c r="AV112">
        <v>0</v>
      </c>
      <c r="AW112">
        <v>491222.53</v>
      </c>
      <c r="AX112">
        <v>4925250.5</v>
      </c>
      <c r="AY112">
        <v>1256.63706143591</v>
      </c>
      <c r="AZ112">
        <v>125663.706143591</v>
      </c>
      <c r="BA112">
        <v>2.3873000000000002E-3</v>
      </c>
      <c r="BB112">
        <v>3.9788999999999996E-3</v>
      </c>
      <c r="BC112">
        <v>2.3873000000000002E-3</v>
      </c>
      <c r="BD112">
        <v>-0.14903060000000001</v>
      </c>
      <c r="BE112">
        <v>-0.14743909999999999</v>
      </c>
      <c r="BF112">
        <v>-0.14903060000000001</v>
      </c>
    </row>
    <row r="113" spans="1:58">
      <c r="A113">
        <v>5574</v>
      </c>
      <c r="B113" t="s">
        <v>176</v>
      </c>
      <c r="C113" t="s">
        <v>98</v>
      </c>
      <c r="G113" s="23">
        <v>43668</v>
      </c>
      <c r="H113">
        <v>2</v>
      </c>
      <c r="I113">
        <v>4963</v>
      </c>
      <c r="J113">
        <v>7</v>
      </c>
      <c r="K113">
        <v>8</v>
      </c>
      <c r="L113">
        <v>7</v>
      </c>
      <c r="M113">
        <v>8</v>
      </c>
      <c r="N113">
        <v>0.69599999999999995</v>
      </c>
      <c r="O113">
        <v>0.79400000000000004</v>
      </c>
      <c r="P113">
        <v>0.69599999999999995</v>
      </c>
      <c r="Q113">
        <v>0.79400000000000004</v>
      </c>
      <c r="R113">
        <v>-123.0326996</v>
      </c>
      <c r="S113">
        <v>44.555435199999998</v>
      </c>
      <c r="T113">
        <v>7.5</v>
      </c>
      <c r="U113">
        <v>0.87470590000000004</v>
      </c>
      <c r="V113">
        <v>0.33473069999999999</v>
      </c>
      <c r="W113">
        <v>497402.96875</v>
      </c>
      <c r="X113">
        <v>4933567.5</v>
      </c>
      <c r="Y113">
        <v>0</v>
      </c>
      <c r="AA113">
        <v>4</v>
      </c>
      <c r="AB113">
        <v>0</v>
      </c>
      <c r="AC113">
        <v>0.40200000000000002</v>
      </c>
      <c r="AD113">
        <v>0</v>
      </c>
      <c r="AE113">
        <v>4</v>
      </c>
      <c r="AF113">
        <v>0</v>
      </c>
      <c r="AG113">
        <v>0.40200000000000002</v>
      </c>
      <c r="AH113">
        <v>0</v>
      </c>
      <c r="AI113">
        <v>31.052177400000001</v>
      </c>
      <c r="AJ113">
        <v>1E-4</v>
      </c>
      <c r="AK113">
        <v>0</v>
      </c>
      <c r="AL113">
        <v>0.27889360000000002</v>
      </c>
      <c r="AM113">
        <v>1</v>
      </c>
      <c r="AN113">
        <v>1</v>
      </c>
      <c r="AO113">
        <v>87</v>
      </c>
      <c r="AP113">
        <v>87</v>
      </c>
      <c r="AQ113">
        <v>4963</v>
      </c>
      <c r="AR113">
        <v>809</v>
      </c>
      <c r="AS113">
        <v>2025</v>
      </c>
      <c r="AT113" s="23">
        <v>45814</v>
      </c>
      <c r="AU113" s="23" t="s">
        <v>153</v>
      </c>
      <c r="AV113">
        <v>0</v>
      </c>
      <c r="AW113">
        <v>497402.96</v>
      </c>
      <c r="AX113">
        <v>4933567.5</v>
      </c>
      <c r="AY113">
        <v>1256.63706143591</v>
      </c>
      <c r="AZ113">
        <v>125663.706143591</v>
      </c>
      <c r="BA113">
        <v>0</v>
      </c>
      <c r="BB113">
        <v>2.91393E-2</v>
      </c>
      <c r="BC113">
        <v>6.445E-4</v>
      </c>
      <c r="BD113">
        <v>-0.27889360000000002</v>
      </c>
      <c r="BE113">
        <v>-0.24975439999999999</v>
      </c>
      <c r="BF113">
        <v>-0.27824910000000003</v>
      </c>
    </row>
    <row r="114" spans="1:58">
      <c r="A114">
        <v>5576</v>
      </c>
      <c r="B114" t="s">
        <v>176</v>
      </c>
      <c r="C114" t="s">
        <v>98</v>
      </c>
      <c r="G114" s="23">
        <v>43668</v>
      </c>
      <c r="H114">
        <v>2</v>
      </c>
      <c r="I114">
        <v>4965</v>
      </c>
      <c r="J114">
        <v>5</v>
      </c>
      <c r="K114">
        <v>6</v>
      </c>
      <c r="L114">
        <v>7</v>
      </c>
      <c r="M114">
        <v>7</v>
      </c>
      <c r="N114">
        <v>0.5</v>
      </c>
      <c r="O114">
        <v>0.59799999999999998</v>
      </c>
      <c r="P114">
        <v>0.69599999999999995</v>
      </c>
      <c r="Q114">
        <v>0.69599999999999995</v>
      </c>
      <c r="R114">
        <v>-123.0163345</v>
      </c>
      <c r="S114">
        <v>44.555553400000001</v>
      </c>
      <c r="T114">
        <v>6.25</v>
      </c>
      <c r="U114">
        <v>0.73058829999999997</v>
      </c>
      <c r="V114">
        <v>0</v>
      </c>
      <c r="W114">
        <v>498702.59375</v>
      </c>
      <c r="X114">
        <v>4933580</v>
      </c>
      <c r="Y114">
        <v>0</v>
      </c>
      <c r="AA114">
        <v>4</v>
      </c>
      <c r="AB114">
        <v>0</v>
      </c>
      <c r="AC114">
        <v>0.40200000000000002</v>
      </c>
      <c r="AD114">
        <v>0</v>
      </c>
      <c r="AE114">
        <v>7</v>
      </c>
      <c r="AF114">
        <v>0.13911000000000001</v>
      </c>
      <c r="AG114">
        <v>0.69599999999999995</v>
      </c>
      <c r="AH114">
        <v>0</v>
      </c>
      <c r="AI114">
        <v>31.052177400000001</v>
      </c>
      <c r="AJ114">
        <v>1E-4</v>
      </c>
      <c r="AK114">
        <v>0</v>
      </c>
      <c r="AL114">
        <v>0.39854149999999999</v>
      </c>
      <c r="AM114">
        <v>1</v>
      </c>
      <c r="AN114">
        <v>1</v>
      </c>
      <c r="AO114">
        <v>88</v>
      </c>
      <c r="AP114">
        <v>88</v>
      </c>
      <c r="AQ114">
        <v>4965</v>
      </c>
      <c r="AR114">
        <v>810</v>
      </c>
      <c r="AS114">
        <v>2025</v>
      </c>
      <c r="AT114" s="23">
        <v>45814</v>
      </c>
      <c r="AU114" s="23" t="s">
        <v>153</v>
      </c>
      <c r="AV114">
        <v>0</v>
      </c>
      <c r="AW114">
        <v>498702.59</v>
      </c>
      <c r="AX114">
        <v>4933580</v>
      </c>
      <c r="AY114">
        <v>1256.63706143591</v>
      </c>
      <c r="AZ114">
        <v>125663.706143591</v>
      </c>
      <c r="BA114">
        <v>7.9580000000000004E-4</v>
      </c>
      <c r="BB114">
        <v>0.21135709999999999</v>
      </c>
      <c r="BC114">
        <v>0.18288470000000001</v>
      </c>
      <c r="BD114">
        <v>-0.39774569999999998</v>
      </c>
      <c r="BE114">
        <v>-0.1871844</v>
      </c>
      <c r="BF114">
        <v>-0.21565680000000001</v>
      </c>
    </row>
    <row r="115" spans="1:58">
      <c r="A115">
        <v>6507</v>
      </c>
      <c r="B115" t="s">
        <v>164</v>
      </c>
      <c r="C115" t="s">
        <v>131</v>
      </c>
      <c r="G115" s="23">
        <v>43668</v>
      </c>
      <c r="H115">
        <v>2</v>
      </c>
      <c r="I115">
        <v>5588</v>
      </c>
      <c r="J115">
        <v>8</v>
      </c>
      <c r="K115">
        <v>8</v>
      </c>
      <c r="L115">
        <v>8</v>
      </c>
      <c r="M115">
        <v>8</v>
      </c>
      <c r="N115">
        <v>0.79400000000000004</v>
      </c>
      <c r="O115">
        <v>0.79400000000000004</v>
      </c>
      <c r="P115">
        <v>0.79400000000000004</v>
      </c>
      <c r="Q115">
        <v>0.79400000000000004</v>
      </c>
      <c r="R115">
        <v>-123.0508957</v>
      </c>
      <c r="S115">
        <v>44.576015499999997</v>
      </c>
      <c r="T115">
        <v>8</v>
      </c>
      <c r="U115">
        <v>0.93235299999999999</v>
      </c>
      <c r="V115">
        <v>0.4537292</v>
      </c>
      <c r="W115">
        <v>495959.25</v>
      </c>
      <c r="X115">
        <v>4935854</v>
      </c>
      <c r="Y115">
        <v>0</v>
      </c>
      <c r="AA115">
        <v>3</v>
      </c>
      <c r="AB115">
        <v>0</v>
      </c>
      <c r="AC115">
        <v>0.30399999999999999</v>
      </c>
      <c r="AD115">
        <v>0</v>
      </c>
      <c r="AE115">
        <v>4</v>
      </c>
      <c r="AF115">
        <v>0</v>
      </c>
      <c r="AG115">
        <v>0.40200000000000002</v>
      </c>
      <c r="AH115">
        <v>0</v>
      </c>
      <c r="AI115">
        <v>31.052177400000001</v>
      </c>
      <c r="AJ115">
        <v>1E-4</v>
      </c>
      <c r="AK115">
        <v>0</v>
      </c>
      <c r="AL115">
        <v>0.20705750000000001</v>
      </c>
      <c r="AM115">
        <v>1</v>
      </c>
      <c r="AN115">
        <v>1</v>
      </c>
      <c r="AO115">
        <v>86</v>
      </c>
      <c r="AP115">
        <v>86</v>
      </c>
      <c r="AQ115">
        <v>5588</v>
      </c>
      <c r="AR115">
        <v>808</v>
      </c>
      <c r="AS115">
        <v>2025</v>
      </c>
      <c r="AT115" s="23">
        <v>45814</v>
      </c>
      <c r="AU115" s="23" t="s">
        <v>153</v>
      </c>
      <c r="AV115">
        <v>0</v>
      </c>
      <c r="AW115">
        <v>495959.25</v>
      </c>
      <c r="AX115">
        <v>4935854</v>
      </c>
      <c r="AY115">
        <v>1256.63706143591</v>
      </c>
      <c r="AZ115">
        <v>125663.706143591</v>
      </c>
      <c r="BA115">
        <v>0.25246600000000002</v>
      </c>
      <c r="BB115">
        <v>0.29168650000000002</v>
      </c>
      <c r="BC115">
        <v>0.33209149999999998</v>
      </c>
      <c r="BD115">
        <v>4.5408499999999997E-2</v>
      </c>
      <c r="BE115">
        <v>8.4628999999999996E-2</v>
      </c>
      <c r="BF115">
        <v>0.12503400000000001</v>
      </c>
    </row>
    <row r="116" spans="1:58">
      <c r="A116">
        <v>323</v>
      </c>
      <c r="B116" t="s">
        <v>177</v>
      </c>
      <c r="C116" t="s">
        <v>86</v>
      </c>
      <c r="G116" s="23">
        <v>43668</v>
      </c>
      <c r="H116">
        <v>2</v>
      </c>
      <c r="I116">
        <v>801</v>
      </c>
      <c r="J116">
        <v>5</v>
      </c>
      <c r="K116">
        <v>7</v>
      </c>
      <c r="L116">
        <v>6</v>
      </c>
      <c r="M116">
        <v>8</v>
      </c>
      <c r="N116">
        <v>0.5</v>
      </c>
      <c r="O116">
        <v>0.69599999999999995</v>
      </c>
      <c r="P116">
        <v>0.59799999999999998</v>
      </c>
      <c r="Q116">
        <v>0.79400000000000004</v>
      </c>
      <c r="R116">
        <v>-123.0955429</v>
      </c>
      <c r="S116">
        <v>44.504424999999998</v>
      </c>
      <c r="T116">
        <v>6.5</v>
      </c>
      <c r="U116">
        <v>0.75941179999999997</v>
      </c>
      <c r="V116">
        <v>0.25641799999999998</v>
      </c>
      <c r="W116">
        <v>492404.84375</v>
      </c>
      <c r="X116">
        <v>4927905</v>
      </c>
      <c r="Y116">
        <v>1</v>
      </c>
      <c r="Z116">
        <v>0</v>
      </c>
      <c r="AA116">
        <v>5</v>
      </c>
      <c r="AB116">
        <v>1.6509000000000001E-3</v>
      </c>
      <c r="AC116">
        <v>0.5</v>
      </c>
      <c r="AD116">
        <v>1</v>
      </c>
      <c r="AE116">
        <v>4</v>
      </c>
      <c r="AF116">
        <v>0</v>
      </c>
      <c r="AG116">
        <v>0.40200000000000002</v>
      </c>
      <c r="AH116">
        <v>0</v>
      </c>
      <c r="AI116">
        <v>31.052177400000001</v>
      </c>
      <c r="AJ116">
        <v>1E-4</v>
      </c>
      <c r="AK116">
        <v>0</v>
      </c>
      <c r="AL116">
        <v>3.2465599999999997E-2</v>
      </c>
      <c r="AM116">
        <v>1</v>
      </c>
      <c r="AN116">
        <v>1</v>
      </c>
      <c r="AO116">
        <v>60</v>
      </c>
      <c r="AP116">
        <v>60</v>
      </c>
      <c r="AQ116">
        <v>801</v>
      </c>
      <c r="AR116">
        <v>782</v>
      </c>
      <c r="AS116">
        <v>2025</v>
      </c>
      <c r="AT116" s="23">
        <v>45818</v>
      </c>
      <c r="AU116" s="23" t="s">
        <v>178</v>
      </c>
      <c r="AV116">
        <v>0</v>
      </c>
      <c r="AW116">
        <v>492404.84</v>
      </c>
      <c r="AX116">
        <v>4927905</v>
      </c>
      <c r="AY116">
        <v>1256.63706143591</v>
      </c>
      <c r="AZ116">
        <v>125663.706143591</v>
      </c>
      <c r="BA116">
        <v>6.02532E-2</v>
      </c>
      <c r="BB116">
        <v>7.9580000000000004E-4</v>
      </c>
      <c r="BC116">
        <v>0.1040336</v>
      </c>
      <c r="BD116">
        <v>2.7787599999999999E-2</v>
      </c>
      <c r="BE116">
        <v>-3.1669900000000001E-2</v>
      </c>
      <c r="BF116">
        <v>7.1568000000000007E-2</v>
      </c>
    </row>
    <row r="117" spans="1:58">
      <c r="A117">
        <v>1363</v>
      </c>
      <c r="B117" t="s">
        <v>179</v>
      </c>
      <c r="C117" t="s">
        <v>146</v>
      </c>
      <c r="G117" s="23">
        <v>43668</v>
      </c>
      <c r="H117">
        <v>2</v>
      </c>
      <c r="I117">
        <v>1666</v>
      </c>
      <c r="J117">
        <v>7</v>
      </c>
      <c r="K117">
        <v>6</v>
      </c>
      <c r="L117">
        <v>6</v>
      </c>
      <c r="M117">
        <v>8</v>
      </c>
      <c r="N117">
        <v>0.69599999999999995</v>
      </c>
      <c r="O117">
        <v>0.59799999999999998</v>
      </c>
      <c r="P117">
        <v>0.59799999999999998</v>
      </c>
      <c r="Q117">
        <v>0.79400000000000004</v>
      </c>
      <c r="R117">
        <v>-122.94641110000001</v>
      </c>
      <c r="S117">
        <v>44.536373099999999</v>
      </c>
      <c r="T117">
        <v>6.75</v>
      </c>
      <c r="U117">
        <v>0.78823529999999997</v>
      </c>
      <c r="V117">
        <v>1.22834E-2</v>
      </c>
      <c r="W117">
        <v>504257.6875</v>
      </c>
      <c r="X117">
        <v>4931451</v>
      </c>
      <c r="Y117">
        <v>0</v>
      </c>
      <c r="AA117">
        <v>4</v>
      </c>
      <c r="AB117">
        <v>0</v>
      </c>
      <c r="AC117">
        <v>0.40200000000000002</v>
      </c>
      <c r="AD117">
        <v>0</v>
      </c>
      <c r="AE117">
        <v>5</v>
      </c>
      <c r="AF117">
        <v>0</v>
      </c>
      <c r="AG117">
        <v>0.5</v>
      </c>
      <c r="AH117">
        <v>0</v>
      </c>
      <c r="AI117">
        <v>31.052177400000001</v>
      </c>
      <c r="AJ117">
        <v>1E-4</v>
      </c>
      <c r="AK117">
        <v>0</v>
      </c>
      <c r="AL117">
        <v>5.0573899999999998E-2</v>
      </c>
      <c r="AM117">
        <v>1</v>
      </c>
      <c r="AN117">
        <v>1</v>
      </c>
      <c r="AO117">
        <v>64</v>
      </c>
      <c r="AP117">
        <v>64</v>
      </c>
      <c r="AQ117">
        <v>1666</v>
      </c>
      <c r="AR117">
        <v>786</v>
      </c>
      <c r="AS117">
        <v>2025</v>
      </c>
      <c r="AT117" s="23">
        <v>45818</v>
      </c>
      <c r="AU117" s="23" t="s">
        <v>178</v>
      </c>
      <c r="AV117">
        <v>0</v>
      </c>
      <c r="AW117">
        <v>504257.679999999</v>
      </c>
      <c r="AX117">
        <v>4931451</v>
      </c>
      <c r="AY117">
        <v>1256.63706143591</v>
      </c>
      <c r="AZ117">
        <v>125663.706143591</v>
      </c>
      <c r="BA117">
        <v>7.4100000000000001E-4</v>
      </c>
      <c r="BB117">
        <v>8.4463999999999997E-3</v>
      </c>
      <c r="BC117">
        <v>7.8779999999999996E-4</v>
      </c>
      <c r="BD117">
        <v>-4.9832899999999999E-2</v>
      </c>
      <c r="BE117">
        <v>-4.2127499999999998E-2</v>
      </c>
      <c r="BF117">
        <v>-4.97861E-2</v>
      </c>
    </row>
    <row r="118" spans="1:58">
      <c r="A118">
        <v>1745</v>
      </c>
      <c r="B118" t="s">
        <v>180</v>
      </c>
      <c r="C118" t="s">
        <v>146</v>
      </c>
      <c r="G118" s="23">
        <v>43668</v>
      </c>
      <c r="H118">
        <v>2</v>
      </c>
      <c r="I118">
        <v>1967</v>
      </c>
      <c r="J118">
        <v>6</v>
      </c>
      <c r="K118">
        <v>8</v>
      </c>
      <c r="L118">
        <v>8</v>
      </c>
      <c r="M118">
        <v>8</v>
      </c>
      <c r="N118">
        <v>0.59799999999999998</v>
      </c>
      <c r="O118">
        <v>0.79400000000000004</v>
      </c>
      <c r="P118">
        <v>0.79400000000000004</v>
      </c>
      <c r="Q118">
        <v>0.79400000000000004</v>
      </c>
      <c r="R118">
        <v>-123.2334213</v>
      </c>
      <c r="S118">
        <v>44.5702286</v>
      </c>
      <c r="T118">
        <v>7.5</v>
      </c>
      <c r="U118">
        <v>0.87470590000000004</v>
      </c>
      <c r="V118">
        <v>0.38142169999999997</v>
      </c>
      <c r="W118">
        <v>481465.78125</v>
      </c>
      <c r="X118">
        <v>4935236.5</v>
      </c>
      <c r="Y118">
        <v>0</v>
      </c>
      <c r="AA118">
        <v>5</v>
      </c>
      <c r="AB118">
        <v>2.4678E-3</v>
      </c>
      <c r="AC118">
        <v>0.5</v>
      </c>
      <c r="AD118">
        <v>0</v>
      </c>
      <c r="AE118">
        <v>5</v>
      </c>
      <c r="AF118">
        <v>1.0855000000000001E-3</v>
      </c>
      <c r="AG118">
        <v>0.5</v>
      </c>
      <c r="AH118">
        <v>0</v>
      </c>
      <c r="AI118">
        <v>31.052177400000001</v>
      </c>
      <c r="AJ118">
        <v>0.13822329999999999</v>
      </c>
      <c r="AK118">
        <v>1</v>
      </c>
      <c r="AL118">
        <v>5.5331900000000003E-2</v>
      </c>
      <c r="AM118">
        <v>1</v>
      </c>
      <c r="AN118">
        <v>1</v>
      </c>
      <c r="AO118">
        <v>57</v>
      </c>
      <c r="AP118">
        <v>57</v>
      </c>
      <c r="AQ118">
        <v>1967</v>
      </c>
      <c r="AR118">
        <v>779</v>
      </c>
      <c r="AS118">
        <v>2025</v>
      </c>
      <c r="AT118" s="23">
        <v>45818</v>
      </c>
      <c r="AU118" s="23" t="s">
        <v>178</v>
      </c>
      <c r="AV118">
        <v>0</v>
      </c>
      <c r="AW118">
        <v>481465.78</v>
      </c>
      <c r="AX118">
        <v>4935236.5</v>
      </c>
      <c r="AY118">
        <v>1256.63706143591</v>
      </c>
      <c r="AZ118">
        <v>125663.706143591</v>
      </c>
      <c r="BA118">
        <v>8.5246600000000006E-2</v>
      </c>
      <c r="BB118">
        <v>5.5703999999999997E-3</v>
      </c>
      <c r="BC118">
        <v>1.5592399999999999E-2</v>
      </c>
      <c r="BD118">
        <v>2.9914699999999999E-2</v>
      </c>
      <c r="BE118">
        <v>-4.9761399999999997E-2</v>
      </c>
      <c r="BF118">
        <v>-3.9739400000000001E-2</v>
      </c>
    </row>
    <row r="119" spans="1:58">
      <c r="A119">
        <v>2354</v>
      </c>
      <c r="B119" t="s">
        <v>143</v>
      </c>
      <c r="C119" t="s">
        <v>119</v>
      </c>
      <c r="G119" s="23">
        <v>43668</v>
      </c>
      <c r="H119">
        <v>2</v>
      </c>
      <c r="I119">
        <v>2489</v>
      </c>
      <c r="J119">
        <v>8</v>
      </c>
      <c r="K119">
        <v>7</v>
      </c>
      <c r="L119">
        <v>7</v>
      </c>
      <c r="M119">
        <v>8</v>
      </c>
      <c r="N119">
        <v>0.79400000000000004</v>
      </c>
      <c r="O119">
        <v>0.69599999999999995</v>
      </c>
      <c r="P119">
        <v>0.69599999999999995</v>
      </c>
      <c r="Q119">
        <v>0.79400000000000004</v>
      </c>
      <c r="R119">
        <v>-123.0941086</v>
      </c>
      <c r="S119">
        <v>44.528121900000002</v>
      </c>
      <c r="T119">
        <v>7.5</v>
      </c>
      <c r="U119">
        <v>0.87470590000000004</v>
      </c>
      <c r="V119">
        <v>7.3937900000000001E-2</v>
      </c>
      <c r="W119">
        <v>492522.25</v>
      </c>
      <c r="X119">
        <v>4930537.5</v>
      </c>
      <c r="Y119">
        <v>0</v>
      </c>
      <c r="AA119">
        <v>5</v>
      </c>
      <c r="AB119">
        <v>0</v>
      </c>
      <c r="AC119">
        <v>0.5</v>
      </c>
      <c r="AD119">
        <v>0</v>
      </c>
      <c r="AE119">
        <v>5</v>
      </c>
      <c r="AF119">
        <v>0</v>
      </c>
      <c r="AG119">
        <v>0.5</v>
      </c>
      <c r="AH119">
        <v>0</v>
      </c>
      <c r="AI119">
        <v>31.052177400000001</v>
      </c>
      <c r="AJ119">
        <v>0.11264390000000001</v>
      </c>
      <c r="AK119">
        <v>1</v>
      </c>
      <c r="AL119">
        <v>0.1227425</v>
      </c>
      <c r="AM119">
        <v>1</v>
      </c>
      <c r="AN119">
        <v>1</v>
      </c>
      <c r="AO119">
        <v>61</v>
      </c>
      <c r="AP119">
        <v>61</v>
      </c>
      <c r="AQ119">
        <v>2489</v>
      </c>
      <c r="AR119">
        <v>783</v>
      </c>
      <c r="AS119">
        <v>2025</v>
      </c>
      <c r="AT119" s="23">
        <v>45818</v>
      </c>
      <c r="AU119" s="23" t="s">
        <v>178</v>
      </c>
      <c r="AV119">
        <v>0</v>
      </c>
      <c r="AW119">
        <v>492522.25</v>
      </c>
      <c r="AX119">
        <v>4930537.5</v>
      </c>
      <c r="AY119">
        <v>1256.63706143591</v>
      </c>
      <c r="AZ119">
        <v>125663.706143591</v>
      </c>
      <c r="BA119">
        <v>0.19137009999999999</v>
      </c>
      <c r="BB119">
        <v>6.1550000000000005E-4</v>
      </c>
      <c r="BC119">
        <v>0.23067380000000001</v>
      </c>
      <c r="BD119">
        <v>6.8627599999999997E-2</v>
      </c>
      <c r="BE119">
        <v>-0.122127</v>
      </c>
      <c r="BF119">
        <v>0.10793129999999999</v>
      </c>
    </row>
    <row r="120" spans="1:58">
      <c r="A120">
        <v>2484</v>
      </c>
      <c r="B120" t="s">
        <v>181</v>
      </c>
      <c r="C120" t="s">
        <v>86</v>
      </c>
      <c r="G120" s="23">
        <v>43668</v>
      </c>
      <c r="H120">
        <v>2</v>
      </c>
      <c r="I120">
        <v>2600</v>
      </c>
      <c r="J120">
        <v>8</v>
      </c>
      <c r="K120">
        <v>8</v>
      </c>
      <c r="L120">
        <v>5</v>
      </c>
      <c r="M120">
        <v>8</v>
      </c>
      <c r="N120">
        <v>0.79400000000000004</v>
      </c>
      <c r="O120">
        <v>0.79400000000000004</v>
      </c>
      <c r="P120">
        <v>0.5</v>
      </c>
      <c r="Q120">
        <v>0.79400000000000004</v>
      </c>
      <c r="R120">
        <v>-123.1707382</v>
      </c>
      <c r="S120">
        <v>44.539150200000002</v>
      </c>
      <c r="T120">
        <v>7.25</v>
      </c>
      <c r="U120">
        <v>0.84588240000000003</v>
      </c>
      <c r="V120">
        <v>2.6902499999999999E-2</v>
      </c>
      <c r="W120">
        <v>486435.625</v>
      </c>
      <c r="X120">
        <v>4931772</v>
      </c>
      <c r="Y120">
        <v>0</v>
      </c>
      <c r="AA120">
        <v>4</v>
      </c>
      <c r="AB120">
        <v>0</v>
      </c>
      <c r="AC120">
        <v>0.40200000000000002</v>
      </c>
      <c r="AD120">
        <v>0</v>
      </c>
      <c r="AE120">
        <v>3</v>
      </c>
      <c r="AF120">
        <v>0</v>
      </c>
      <c r="AG120">
        <v>0.30399999999999999</v>
      </c>
      <c r="AH120">
        <v>0</v>
      </c>
      <c r="AI120">
        <v>31.052177400000001</v>
      </c>
      <c r="AJ120">
        <v>1E-4</v>
      </c>
      <c r="AK120">
        <v>0</v>
      </c>
      <c r="AL120">
        <v>9.4669199999999995E-2</v>
      </c>
      <c r="AM120">
        <v>1</v>
      </c>
      <c r="AN120">
        <v>1</v>
      </c>
      <c r="AO120">
        <v>59</v>
      </c>
      <c r="AP120">
        <v>59</v>
      </c>
      <c r="AQ120">
        <v>2600</v>
      </c>
      <c r="AR120">
        <v>781</v>
      </c>
      <c r="AS120">
        <v>2025</v>
      </c>
      <c r="AT120" s="23">
        <v>45818</v>
      </c>
      <c r="AU120" s="23" t="s">
        <v>178</v>
      </c>
      <c r="AV120">
        <v>0</v>
      </c>
      <c r="AW120">
        <v>486435.61999999901</v>
      </c>
      <c r="AX120">
        <v>4931772</v>
      </c>
      <c r="AY120">
        <v>1256.63706143591</v>
      </c>
      <c r="AZ120">
        <v>125663.706143591</v>
      </c>
      <c r="BA120">
        <v>2.13694E-2</v>
      </c>
      <c r="BB120">
        <v>7.9580000000000004E-4</v>
      </c>
      <c r="BC120">
        <v>1.0345099999999999E-2</v>
      </c>
      <c r="BD120">
        <v>-7.3299900000000001E-2</v>
      </c>
      <c r="BE120">
        <v>-9.3873399999999996E-2</v>
      </c>
      <c r="BF120">
        <v>-8.4324099999999999E-2</v>
      </c>
    </row>
    <row r="121" spans="1:58">
      <c r="A121">
        <v>2485</v>
      </c>
      <c r="B121" t="s">
        <v>181</v>
      </c>
      <c r="C121" t="s">
        <v>86</v>
      </c>
      <c r="G121" s="23">
        <v>43668</v>
      </c>
      <c r="H121">
        <v>2</v>
      </c>
      <c r="I121">
        <v>2601</v>
      </c>
      <c r="J121">
        <v>6</v>
      </c>
      <c r="K121">
        <v>7</v>
      </c>
      <c r="L121">
        <v>5</v>
      </c>
      <c r="M121">
        <v>8</v>
      </c>
      <c r="N121">
        <v>0.59799999999999998</v>
      </c>
      <c r="O121">
        <v>0.69599999999999995</v>
      </c>
      <c r="P121">
        <v>0.5</v>
      </c>
      <c r="Q121">
        <v>0.79400000000000004</v>
      </c>
      <c r="R121">
        <v>-123.1698608</v>
      </c>
      <c r="S121">
        <v>44.5448837</v>
      </c>
      <c r="T121">
        <v>6.5</v>
      </c>
      <c r="U121">
        <v>0.75941179999999997</v>
      </c>
      <c r="V121">
        <v>6.4906199999999997E-2</v>
      </c>
      <c r="W121">
        <v>486506.90625</v>
      </c>
      <c r="X121">
        <v>4932409</v>
      </c>
      <c r="Y121">
        <v>0</v>
      </c>
      <c r="AA121">
        <v>6</v>
      </c>
      <c r="AB121">
        <v>1.3365500000000001E-2</v>
      </c>
      <c r="AC121">
        <v>0.59799999999999998</v>
      </c>
      <c r="AD121">
        <v>0</v>
      </c>
      <c r="AE121">
        <v>6</v>
      </c>
      <c r="AF121">
        <v>6.8120999999999998E-3</v>
      </c>
      <c r="AG121">
        <v>0.59799999999999998</v>
      </c>
      <c r="AH121">
        <v>0</v>
      </c>
      <c r="AI121">
        <v>31.052177400000001</v>
      </c>
      <c r="AJ121">
        <v>1E-4</v>
      </c>
      <c r="AK121">
        <v>0</v>
      </c>
      <c r="AL121">
        <v>5.9245199999999998E-2</v>
      </c>
      <c r="AM121">
        <v>1</v>
      </c>
      <c r="AN121">
        <v>1</v>
      </c>
      <c r="AO121">
        <v>58</v>
      </c>
      <c r="AP121">
        <v>58</v>
      </c>
      <c r="AQ121">
        <v>2601</v>
      </c>
      <c r="AR121">
        <v>780</v>
      </c>
      <c r="AS121">
        <v>2025</v>
      </c>
      <c r="AT121" s="23">
        <v>45818</v>
      </c>
      <c r="AU121" s="23" t="s">
        <v>178</v>
      </c>
      <c r="AV121">
        <v>0</v>
      </c>
      <c r="AW121">
        <v>486506.9</v>
      </c>
      <c r="AX121">
        <v>4932409</v>
      </c>
      <c r="AY121">
        <v>1256.63706143591</v>
      </c>
      <c r="AZ121">
        <v>125663.706143591</v>
      </c>
      <c r="BA121">
        <v>4.0702599999999999E-2</v>
      </c>
      <c r="BB121">
        <v>7.9580000000000004E-4</v>
      </c>
      <c r="BC121">
        <v>7.9580000000000004E-4</v>
      </c>
      <c r="BD121">
        <v>-1.8542599999999999E-2</v>
      </c>
      <c r="BE121">
        <v>-5.8449399999999999E-2</v>
      </c>
      <c r="BF121">
        <v>-5.8449399999999999E-2</v>
      </c>
    </row>
    <row r="122" spans="1:58">
      <c r="A122">
        <v>2999</v>
      </c>
      <c r="B122" t="s">
        <v>164</v>
      </c>
      <c r="C122" t="s">
        <v>131</v>
      </c>
      <c r="G122" s="23">
        <v>43668</v>
      </c>
      <c r="H122">
        <v>2</v>
      </c>
      <c r="I122">
        <v>3004</v>
      </c>
      <c r="J122">
        <v>5</v>
      </c>
      <c r="K122">
        <v>6</v>
      </c>
      <c r="L122">
        <v>6</v>
      </c>
      <c r="M122">
        <v>6</v>
      </c>
      <c r="N122">
        <v>0.5</v>
      </c>
      <c r="O122">
        <v>0.59799999999999998</v>
      </c>
      <c r="P122">
        <v>0.59799999999999998</v>
      </c>
      <c r="Q122">
        <v>0.59799999999999998</v>
      </c>
      <c r="R122">
        <v>-123.0489426</v>
      </c>
      <c r="S122">
        <v>44.5310822</v>
      </c>
      <c r="T122">
        <v>5.75</v>
      </c>
      <c r="U122">
        <v>0.67294109999999996</v>
      </c>
      <c r="V122">
        <v>0</v>
      </c>
      <c r="W122">
        <v>496111.21875</v>
      </c>
      <c r="X122">
        <v>4930863</v>
      </c>
      <c r="Y122">
        <v>0</v>
      </c>
      <c r="AA122">
        <v>8</v>
      </c>
      <c r="AB122">
        <v>0.27951609999999999</v>
      </c>
      <c r="AC122">
        <v>0.79400000000000004</v>
      </c>
      <c r="AD122">
        <v>0</v>
      </c>
      <c r="AE122">
        <v>4</v>
      </c>
      <c r="AF122">
        <v>0</v>
      </c>
      <c r="AG122">
        <v>0.40200000000000002</v>
      </c>
      <c r="AH122">
        <v>0</v>
      </c>
      <c r="AI122">
        <v>31.052177400000001</v>
      </c>
      <c r="AJ122">
        <v>1E-4</v>
      </c>
      <c r="AK122">
        <v>0</v>
      </c>
      <c r="AL122">
        <v>0.13677220000000001</v>
      </c>
      <c r="AM122">
        <v>1</v>
      </c>
      <c r="AN122">
        <v>1</v>
      </c>
      <c r="AO122">
        <v>62</v>
      </c>
      <c r="AP122">
        <v>62</v>
      </c>
      <c r="AQ122">
        <v>3004</v>
      </c>
      <c r="AR122">
        <v>784</v>
      </c>
      <c r="AS122">
        <v>2025</v>
      </c>
      <c r="AT122" s="23">
        <v>45818</v>
      </c>
      <c r="AU122" s="23" t="s">
        <v>178</v>
      </c>
      <c r="AV122">
        <v>2</v>
      </c>
      <c r="AW122">
        <v>496111.21</v>
      </c>
      <c r="AX122">
        <v>4930863</v>
      </c>
      <c r="AY122">
        <v>1256.63706143591</v>
      </c>
      <c r="AZ122">
        <v>125663.706143591</v>
      </c>
      <c r="BA122">
        <v>2.3873000000000002E-3</v>
      </c>
      <c r="BB122">
        <v>0</v>
      </c>
      <c r="BC122">
        <v>7.9580000000000004E-4</v>
      </c>
      <c r="BD122">
        <v>-0.1343849</v>
      </c>
      <c r="BE122">
        <v>-0.13677220000000001</v>
      </c>
      <c r="BF122">
        <v>-0.1359764</v>
      </c>
    </row>
    <row r="123" spans="1:58">
      <c r="A123">
        <v>6213</v>
      </c>
      <c r="B123" t="s">
        <v>182</v>
      </c>
      <c r="C123" t="s">
        <v>86</v>
      </c>
      <c r="G123" s="23">
        <v>43668</v>
      </c>
      <c r="H123">
        <v>2</v>
      </c>
      <c r="I123">
        <v>5385</v>
      </c>
      <c r="J123">
        <v>5</v>
      </c>
      <c r="K123">
        <v>6</v>
      </c>
      <c r="L123">
        <v>6</v>
      </c>
      <c r="M123">
        <v>8</v>
      </c>
      <c r="N123">
        <v>0.5</v>
      </c>
      <c r="O123">
        <v>0.59799999999999998</v>
      </c>
      <c r="P123">
        <v>0.59799999999999998</v>
      </c>
      <c r="Q123">
        <v>0.79400000000000004</v>
      </c>
      <c r="R123">
        <v>-123.01842499999999</v>
      </c>
      <c r="S123">
        <v>44.536853800000003</v>
      </c>
      <c r="T123">
        <v>6.25</v>
      </c>
      <c r="U123">
        <v>0.73058829999999997</v>
      </c>
      <c r="V123">
        <v>6.1168399999999998E-2</v>
      </c>
      <c r="W123">
        <v>498536.28125</v>
      </c>
      <c r="X123">
        <v>4931503</v>
      </c>
      <c r="Y123">
        <v>0</v>
      </c>
      <c r="AA123">
        <v>4</v>
      </c>
      <c r="AB123">
        <v>0</v>
      </c>
      <c r="AC123">
        <v>0.40200000000000002</v>
      </c>
      <c r="AD123">
        <v>0</v>
      </c>
      <c r="AE123">
        <v>4</v>
      </c>
      <c r="AF123">
        <v>0</v>
      </c>
      <c r="AG123">
        <v>0.40200000000000002</v>
      </c>
      <c r="AH123">
        <v>0</v>
      </c>
      <c r="AI123">
        <v>31.052177400000001</v>
      </c>
      <c r="AJ123">
        <v>1E-4</v>
      </c>
      <c r="AK123">
        <v>0</v>
      </c>
      <c r="AL123">
        <v>0.1348714</v>
      </c>
      <c r="AM123">
        <v>1</v>
      </c>
      <c r="AN123">
        <v>1</v>
      </c>
      <c r="AO123">
        <v>63</v>
      </c>
      <c r="AP123">
        <v>63</v>
      </c>
      <c r="AQ123">
        <v>5385</v>
      </c>
      <c r="AR123">
        <v>785</v>
      </c>
      <c r="AS123">
        <v>2025</v>
      </c>
      <c r="AT123" s="23">
        <v>45818</v>
      </c>
      <c r="AU123" s="23" t="s">
        <v>178</v>
      </c>
      <c r="AV123">
        <v>1</v>
      </c>
      <c r="AW123">
        <v>498536.28</v>
      </c>
      <c r="AX123">
        <v>4931503</v>
      </c>
      <c r="AY123">
        <v>1256.63706143591</v>
      </c>
      <c r="AZ123">
        <v>125663.706143591</v>
      </c>
      <c r="BA123">
        <v>7.9580000000000004E-4</v>
      </c>
      <c r="BB123">
        <v>7.9580000000000004E-4</v>
      </c>
      <c r="BC123">
        <v>6.3661999999999998E-3</v>
      </c>
      <c r="BD123">
        <v>-0.13407559999999999</v>
      </c>
      <c r="BE123">
        <v>-0.13407559999999999</v>
      </c>
      <c r="BF123">
        <v>-0.12850520000000001</v>
      </c>
    </row>
    <row r="124" spans="1:58">
      <c r="A124">
        <v>1070</v>
      </c>
      <c r="B124" t="s">
        <v>105</v>
      </c>
      <c r="C124" t="s">
        <v>86</v>
      </c>
      <c r="G124" s="23">
        <v>43668</v>
      </c>
      <c r="H124">
        <v>3</v>
      </c>
      <c r="I124">
        <v>1414</v>
      </c>
      <c r="J124">
        <v>6</v>
      </c>
      <c r="K124">
        <v>7</v>
      </c>
      <c r="L124">
        <v>7</v>
      </c>
      <c r="M124">
        <v>8</v>
      </c>
      <c r="N124">
        <v>0.59799999999999998</v>
      </c>
      <c r="O124">
        <v>0.69599999999999995</v>
      </c>
      <c r="P124">
        <v>0.69599999999999995</v>
      </c>
      <c r="Q124">
        <v>0.79400000000000004</v>
      </c>
      <c r="R124">
        <v>-123.3197098</v>
      </c>
      <c r="S124">
        <v>44.373275800000002</v>
      </c>
      <c r="T124">
        <v>7</v>
      </c>
      <c r="U124">
        <v>0.81705879999999997</v>
      </c>
      <c r="V124">
        <v>2.0224300000000001E-2</v>
      </c>
      <c r="W124">
        <v>474528.90625</v>
      </c>
      <c r="X124">
        <v>4913383</v>
      </c>
      <c r="Y124">
        <v>0</v>
      </c>
      <c r="AA124">
        <v>5</v>
      </c>
      <c r="AB124">
        <v>0</v>
      </c>
      <c r="AC124">
        <v>0.5</v>
      </c>
      <c r="AD124">
        <v>0</v>
      </c>
      <c r="AE124">
        <v>6</v>
      </c>
      <c r="AF124">
        <v>2.7114000000000001E-3</v>
      </c>
      <c r="AG124">
        <v>0.59799999999999998</v>
      </c>
      <c r="AH124">
        <v>1</v>
      </c>
      <c r="AI124">
        <v>31.052177400000001</v>
      </c>
      <c r="AJ124">
        <v>0.74424780000000001</v>
      </c>
      <c r="AK124">
        <v>1</v>
      </c>
      <c r="AL124">
        <v>0.21566289999999999</v>
      </c>
      <c r="AM124">
        <v>1</v>
      </c>
      <c r="AN124">
        <v>1</v>
      </c>
      <c r="AO124">
        <v>70</v>
      </c>
      <c r="AP124">
        <v>70</v>
      </c>
      <c r="AQ124">
        <v>1414</v>
      </c>
      <c r="AR124">
        <v>792</v>
      </c>
      <c r="AS124">
        <v>2025</v>
      </c>
      <c r="AT124" s="23">
        <v>45819</v>
      </c>
      <c r="AU124" s="23" t="s">
        <v>178</v>
      </c>
      <c r="AV124">
        <v>0</v>
      </c>
      <c r="AW124">
        <v>474528.9</v>
      </c>
      <c r="AX124">
        <v>4913383</v>
      </c>
      <c r="AY124">
        <v>1256.63706143591</v>
      </c>
      <c r="AZ124">
        <v>125663.706143591</v>
      </c>
      <c r="BA124">
        <v>0.29406470000000001</v>
      </c>
      <c r="BB124">
        <v>0.31157180000000001</v>
      </c>
      <c r="BC124">
        <v>0.35402549999999999</v>
      </c>
      <c r="BD124">
        <v>7.8401799999999994E-2</v>
      </c>
      <c r="BE124">
        <v>9.5908900000000005E-2</v>
      </c>
      <c r="BF124">
        <v>0.1383626</v>
      </c>
    </row>
    <row r="125" spans="1:58">
      <c r="A125">
        <v>2616</v>
      </c>
      <c r="B125" t="s">
        <v>183</v>
      </c>
      <c r="C125" t="s">
        <v>86</v>
      </c>
      <c r="G125" s="23">
        <v>43668</v>
      </c>
      <c r="H125">
        <v>3</v>
      </c>
      <c r="I125">
        <v>2710</v>
      </c>
      <c r="J125">
        <v>8</v>
      </c>
      <c r="K125">
        <v>8</v>
      </c>
      <c r="L125">
        <v>6</v>
      </c>
      <c r="M125">
        <v>8</v>
      </c>
      <c r="N125">
        <v>0.79400000000000004</v>
      </c>
      <c r="O125">
        <v>0.79400000000000004</v>
      </c>
      <c r="P125">
        <v>0.59799999999999998</v>
      </c>
      <c r="Q125">
        <v>0.79400000000000004</v>
      </c>
      <c r="R125">
        <v>-123.3634033</v>
      </c>
      <c r="S125">
        <v>44.4784279</v>
      </c>
      <c r="T125">
        <v>7.5</v>
      </c>
      <c r="U125">
        <v>0.87470590000000004</v>
      </c>
      <c r="V125">
        <v>0.17862149999999999</v>
      </c>
      <c r="W125">
        <v>471099.65625</v>
      </c>
      <c r="X125">
        <v>4925077</v>
      </c>
      <c r="Y125">
        <v>0</v>
      </c>
      <c r="AA125">
        <v>8</v>
      </c>
      <c r="AB125">
        <v>0.19211929999999999</v>
      </c>
      <c r="AC125">
        <v>0.79400000000000004</v>
      </c>
      <c r="AD125">
        <v>0</v>
      </c>
      <c r="AE125">
        <v>7</v>
      </c>
      <c r="AF125">
        <v>0.13620579999999999</v>
      </c>
      <c r="AG125">
        <v>0.69599999999999995</v>
      </c>
      <c r="AH125">
        <v>0</v>
      </c>
      <c r="AI125">
        <v>31.052177400000001</v>
      </c>
      <c r="AJ125">
        <v>7.24104E-2</v>
      </c>
      <c r="AK125">
        <v>0</v>
      </c>
      <c r="AL125">
        <v>0.1648655</v>
      </c>
      <c r="AM125">
        <v>1</v>
      </c>
      <c r="AN125">
        <v>1</v>
      </c>
      <c r="AO125">
        <v>66</v>
      </c>
      <c r="AP125">
        <v>66</v>
      </c>
      <c r="AQ125">
        <v>2710</v>
      </c>
      <c r="AR125">
        <v>788</v>
      </c>
      <c r="AS125">
        <v>2025</v>
      </c>
      <c r="AT125" s="23">
        <v>45819</v>
      </c>
      <c r="AU125" s="23" t="s">
        <v>178</v>
      </c>
      <c r="AV125">
        <v>0</v>
      </c>
      <c r="AW125">
        <v>471099.65</v>
      </c>
      <c r="AX125">
        <v>4925077</v>
      </c>
      <c r="AY125">
        <v>1256.63706143591</v>
      </c>
      <c r="AZ125">
        <v>125663.706143591</v>
      </c>
      <c r="BA125">
        <v>7.9580000000000004E-4</v>
      </c>
      <c r="BB125">
        <v>7.9580000000000004E-4</v>
      </c>
      <c r="BC125">
        <v>7.9580000000000004E-4</v>
      </c>
      <c r="BD125">
        <v>-0.16406970000000001</v>
      </c>
      <c r="BE125">
        <v>-0.16406970000000001</v>
      </c>
      <c r="BF125">
        <v>-0.16406970000000001</v>
      </c>
    </row>
    <row r="126" spans="1:58">
      <c r="A126">
        <v>3328</v>
      </c>
      <c r="B126" t="s">
        <v>184</v>
      </c>
      <c r="C126" t="s">
        <v>86</v>
      </c>
      <c r="G126" s="23">
        <v>43668</v>
      </c>
      <c r="H126">
        <v>3</v>
      </c>
      <c r="I126">
        <v>3254</v>
      </c>
      <c r="J126">
        <v>8</v>
      </c>
      <c r="K126">
        <v>8</v>
      </c>
      <c r="L126">
        <v>7</v>
      </c>
      <c r="M126">
        <v>8</v>
      </c>
      <c r="N126">
        <v>0.79400000000000004</v>
      </c>
      <c r="O126">
        <v>0.79400000000000004</v>
      </c>
      <c r="P126">
        <v>0.69599999999999995</v>
      </c>
      <c r="Q126">
        <v>0.79400000000000004</v>
      </c>
      <c r="R126">
        <v>-123.2862015</v>
      </c>
      <c r="S126">
        <v>44.428832999999997</v>
      </c>
      <c r="T126">
        <v>7.75</v>
      </c>
      <c r="U126">
        <v>0.90352940000000004</v>
      </c>
      <c r="V126">
        <v>0.1044678</v>
      </c>
      <c r="W126">
        <v>477220.21875</v>
      </c>
      <c r="X126">
        <v>4919544</v>
      </c>
      <c r="Y126">
        <v>0</v>
      </c>
      <c r="AA126">
        <v>5</v>
      </c>
      <c r="AB126">
        <v>0</v>
      </c>
      <c r="AC126">
        <v>0.5</v>
      </c>
      <c r="AD126">
        <v>0</v>
      </c>
      <c r="AE126">
        <v>5</v>
      </c>
      <c r="AF126">
        <v>0</v>
      </c>
      <c r="AG126">
        <v>0.5</v>
      </c>
      <c r="AH126">
        <v>0</v>
      </c>
      <c r="AI126">
        <v>31.052177400000001</v>
      </c>
      <c r="AJ126">
        <v>1E-4</v>
      </c>
      <c r="AK126">
        <v>0</v>
      </c>
      <c r="AL126">
        <v>0.1037695</v>
      </c>
      <c r="AM126">
        <v>1</v>
      </c>
      <c r="AN126">
        <v>1</v>
      </c>
      <c r="AO126">
        <v>68</v>
      </c>
      <c r="AP126">
        <v>68</v>
      </c>
      <c r="AQ126">
        <v>3254</v>
      </c>
      <c r="AR126">
        <v>790</v>
      </c>
      <c r="AS126">
        <v>2025</v>
      </c>
      <c r="AT126" s="23">
        <v>45819</v>
      </c>
      <c r="AU126" s="23" t="s">
        <v>178</v>
      </c>
      <c r="AV126">
        <v>0</v>
      </c>
      <c r="AW126">
        <v>477220.21</v>
      </c>
      <c r="AX126">
        <v>4919544</v>
      </c>
      <c r="AY126">
        <v>1256.63706143591</v>
      </c>
      <c r="AZ126">
        <v>125663.706143591</v>
      </c>
      <c r="BA126">
        <v>7.2264499999999995E-2</v>
      </c>
      <c r="BB126">
        <v>7.9580000000000004E-4</v>
      </c>
      <c r="BC126">
        <v>5.43171E-2</v>
      </c>
      <c r="BD126">
        <v>-3.1504900000000002E-2</v>
      </c>
      <c r="BE126">
        <v>-0.1029737</v>
      </c>
      <c r="BF126">
        <v>-4.9452400000000001E-2</v>
      </c>
    </row>
    <row r="127" spans="1:58">
      <c r="A127">
        <v>4193</v>
      </c>
      <c r="B127" t="s">
        <v>185</v>
      </c>
      <c r="C127" t="s">
        <v>86</v>
      </c>
      <c r="G127" s="23">
        <v>43668</v>
      </c>
      <c r="H127">
        <v>3</v>
      </c>
      <c r="I127">
        <v>3923</v>
      </c>
      <c r="J127">
        <v>7</v>
      </c>
      <c r="K127">
        <v>8</v>
      </c>
      <c r="L127">
        <v>6</v>
      </c>
      <c r="M127">
        <v>8</v>
      </c>
      <c r="N127">
        <v>0.69599999999999995</v>
      </c>
      <c r="O127">
        <v>0.79400000000000004</v>
      </c>
      <c r="P127">
        <v>0.59799999999999998</v>
      </c>
      <c r="Q127">
        <v>0.79400000000000004</v>
      </c>
      <c r="R127">
        <v>-123.3388138</v>
      </c>
      <c r="S127">
        <v>44.478984799999999</v>
      </c>
      <c r="T127">
        <v>7.25</v>
      </c>
      <c r="U127">
        <v>0.84588240000000003</v>
      </c>
      <c r="V127">
        <v>0.1934448</v>
      </c>
      <c r="W127">
        <v>473055.6875</v>
      </c>
      <c r="X127">
        <v>4925130.5</v>
      </c>
      <c r="Y127">
        <v>0</v>
      </c>
      <c r="AA127">
        <v>6</v>
      </c>
      <c r="AB127">
        <v>2.6529299999999999E-2</v>
      </c>
      <c r="AC127">
        <v>0.59799999999999998</v>
      </c>
      <c r="AD127">
        <v>0</v>
      </c>
      <c r="AE127">
        <v>8</v>
      </c>
      <c r="AF127">
        <v>0.1785294</v>
      </c>
      <c r="AG127">
        <v>0.79400000000000004</v>
      </c>
      <c r="AH127">
        <v>0</v>
      </c>
      <c r="AI127">
        <v>31.052177400000001</v>
      </c>
      <c r="AJ127">
        <v>0.12158339999999999</v>
      </c>
      <c r="AK127">
        <v>1</v>
      </c>
      <c r="AL127">
        <v>0.1615172</v>
      </c>
      <c r="AM127">
        <v>1</v>
      </c>
      <c r="AN127">
        <v>1</v>
      </c>
      <c r="AO127">
        <v>65</v>
      </c>
      <c r="AP127">
        <v>65</v>
      </c>
      <c r="AQ127">
        <v>3923</v>
      </c>
      <c r="AR127">
        <v>787</v>
      </c>
      <c r="AS127">
        <v>2025</v>
      </c>
      <c r="AT127" s="23">
        <v>45819</v>
      </c>
      <c r="AU127" s="23" t="s">
        <v>178</v>
      </c>
      <c r="AV127">
        <v>0</v>
      </c>
      <c r="AW127">
        <v>473055.679999999</v>
      </c>
      <c r="AX127">
        <v>4925130.5</v>
      </c>
      <c r="AY127">
        <v>1256.63706143591</v>
      </c>
      <c r="AZ127">
        <v>125663.706143591</v>
      </c>
      <c r="BA127">
        <v>7.9580000000000004E-4</v>
      </c>
      <c r="BB127">
        <v>1.5915E-3</v>
      </c>
      <c r="BC127">
        <v>4.5586000000000003E-3</v>
      </c>
      <c r="BD127">
        <v>-0.16072139999999999</v>
      </c>
      <c r="BE127">
        <v>-0.1599256</v>
      </c>
      <c r="BF127">
        <v>-0.1569585</v>
      </c>
    </row>
    <row r="128" spans="1:58">
      <c r="A128">
        <v>4280</v>
      </c>
      <c r="B128" t="s">
        <v>117</v>
      </c>
      <c r="C128" t="s">
        <v>86</v>
      </c>
      <c r="G128" s="23">
        <v>43668</v>
      </c>
      <c r="H128">
        <v>3</v>
      </c>
      <c r="I128">
        <v>3987</v>
      </c>
      <c r="J128">
        <v>6</v>
      </c>
      <c r="K128">
        <v>8</v>
      </c>
      <c r="L128">
        <v>8</v>
      </c>
      <c r="M128">
        <v>8</v>
      </c>
      <c r="N128">
        <v>0.59799999999999998</v>
      </c>
      <c r="O128">
        <v>0.79400000000000004</v>
      </c>
      <c r="P128">
        <v>0.79400000000000004</v>
      </c>
      <c r="Q128">
        <v>0.79400000000000004</v>
      </c>
      <c r="R128">
        <v>-123.2467194</v>
      </c>
      <c r="S128">
        <v>44.304843900000002</v>
      </c>
      <c r="T128">
        <v>7.5</v>
      </c>
      <c r="U128">
        <v>0.87470590000000004</v>
      </c>
      <c r="V128">
        <v>2.1605999999999999E-3</v>
      </c>
      <c r="W128">
        <v>480321.21875</v>
      </c>
      <c r="X128">
        <v>4905761.5</v>
      </c>
      <c r="Y128">
        <v>0</v>
      </c>
      <c r="AA128">
        <v>8</v>
      </c>
      <c r="AB128">
        <v>0.5855475</v>
      </c>
      <c r="AC128">
        <v>0.79400000000000004</v>
      </c>
      <c r="AD128">
        <v>0</v>
      </c>
      <c r="AE128">
        <v>8</v>
      </c>
      <c r="AF128">
        <v>0.65616300000000005</v>
      </c>
      <c r="AG128">
        <v>0.79400000000000004</v>
      </c>
      <c r="AH128">
        <v>0</v>
      </c>
      <c r="AI128">
        <v>31.052177400000001</v>
      </c>
      <c r="AJ128">
        <v>0.3233818</v>
      </c>
      <c r="AK128">
        <v>1</v>
      </c>
      <c r="AL128">
        <v>0.18578259999999999</v>
      </c>
      <c r="AM128">
        <v>1</v>
      </c>
      <c r="AN128">
        <v>1</v>
      </c>
      <c r="AO128">
        <v>73</v>
      </c>
      <c r="AP128">
        <v>73</v>
      </c>
      <c r="AQ128">
        <v>3987</v>
      </c>
      <c r="AR128">
        <v>795</v>
      </c>
      <c r="AS128">
        <v>2025</v>
      </c>
      <c r="AT128" s="23">
        <v>45819</v>
      </c>
      <c r="AU128" s="23" t="s">
        <v>178</v>
      </c>
      <c r="AV128">
        <v>0</v>
      </c>
      <c r="AW128">
        <v>480321.21</v>
      </c>
      <c r="AX128">
        <v>4905761.5</v>
      </c>
      <c r="AY128">
        <v>1256.63706143591</v>
      </c>
      <c r="AZ128">
        <v>125663.706143591</v>
      </c>
      <c r="BA128">
        <v>7.9580000000000004E-4</v>
      </c>
      <c r="BB128">
        <v>1.5899E-3</v>
      </c>
      <c r="BC128">
        <v>7.9580000000000004E-4</v>
      </c>
      <c r="BD128">
        <v>-0.18498680000000001</v>
      </c>
      <c r="BE128">
        <v>-0.18419269999999999</v>
      </c>
      <c r="BF128">
        <v>-0.18498680000000001</v>
      </c>
    </row>
    <row r="129" spans="1:58">
      <c r="A129">
        <v>4405</v>
      </c>
      <c r="B129" t="s">
        <v>107</v>
      </c>
      <c r="C129" t="s">
        <v>86</v>
      </c>
      <c r="G129" s="23">
        <v>43668</v>
      </c>
      <c r="H129">
        <v>3</v>
      </c>
      <c r="I129">
        <v>4071</v>
      </c>
      <c r="J129">
        <v>7</v>
      </c>
      <c r="K129">
        <v>8</v>
      </c>
      <c r="L129">
        <v>8</v>
      </c>
      <c r="M129">
        <v>8</v>
      </c>
      <c r="N129">
        <v>0.69599999999999995</v>
      </c>
      <c r="O129">
        <v>0.79400000000000004</v>
      </c>
      <c r="P129">
        <v>0.79400000000000004</v>
      </c>
      <c r="Q129">
        <v>0.79400000000000004</v>
      </c>
      <c r="R129">
        <v>-123.3183746</v>
      </c>
      <c r="S129">
        <v>44.299400300000002</v>
      </c>
      <c r="T129">
        <v>7.75</v>
      </c>
      <c r="U129">
        <v>0.90352940000000004</v>
      </c>
      <c r="V129">
        <v>0.20379890000000001</v>
      </c>
      <c r="W129">
        <v>474603.21875</v>
      </c>
      <c r="X129">
        <v>4905176.5</v>
      </c>
      <c r="Y129">
        <v>0</v>
      </c>
      <c r="AA129">
        <v>7</v>
      </c>
      <c r="AB129">
        <v>0.21304010000000001</v>
      </c>
      <c r="AC129">
        <v>0.69599999999999995</v>
      </c>
      <c r="AD129">
        <v>0</v>
      </c>
      <c r="AE129">
        <v>7</v>
      </c>
      <c r="AF129">
        <v>0.29677439999999999</v>
      </c>
      <c r="AG129">
        <v>0.69599999999999995</v>
      </c>
      <c r="AH129">
        <v>0</v>
      </c>
      <c r="AI129">
        <v>31.052177400000001</v>
      </c>
      <c r="AJ129">
        <v>0.16395889999999999</v>
      </c>
      <c r="AK129">
        <v>1</v>
      </c>
      <c r="AL129">
        <v>0.1407195</v>
      </c>
      <c r="AM129">
        <v>1</v>
      </c>
      <c r="AN129">
        <v>1</v>
      </c>
      <c r="AO129">
        <v>72</v>
      </c>
      <c r="AP129">
        <v>72</v>
      </c>
      <c r="AQ129">
        <v>4071</v>
      </c>
      <c r="AR129">
        <v>794</v>
      </c>
      <c r="AS129">
        <v>2025</v>
      </c>
      <c r="AT129" s="23">
        <v>45819</v>
      </c>
      <c r="AU129" s="23" t="s">
        <v>178</v>
      </c>
      <c r="AV129">
        <v>0</v>
      </c>
      <c r="AW129">
        <v>474603.21</v>
      </c>
      <c r="AX129">
        <v>4905176.5</v>
      </c>
      <c r="AY129">
        <v>1256.63706143591</v>
      </c>
      <c r="AZ129">
        <v>125663.706143591</v>
      </c>
      <c r="BA129">
        <v>0.24495210000000001</v>
      </c>
      <c r="BB129">
        <v>1.5915E-3</v>
      </c>
      <c r="BC129">
        <v>2.3873000000000002E-3</v>
      </c>
      <c r="BD129">
        <v>0.10423259999999999</v>
      </c>
      <c r="BE129">
        <v>-0.139128</v>
      </c>
      <c r="BF129">
        <v>-0.13833219999999999</v>
      </c>
    </row>
    <row r="130" spans="1:58">
      <c r="A130">
        <v>4934</v>
      </c>
      <c r="B130" t="s">
        <v>97</v>
      </c>
      <c r="C130" t="s">
        <v>98</v>
      </c>
      <c r="D130" t="s">
        <v>99</v>
      </c>
      <c r="G130" s="23">
        <v>43668</v>
      </c>
      <c r="H130">
        <v>3</v>
      </c>
      <c r="I130">
        <v>4450</v>
      </c>
      <c r="J130">
        <v>4</v>
      </c>
      <c r="K130">
        <v>6</v>
      </c>
      <c r="L130">
        <v>5</v>
      </c>
      <c r="M130">
        <v>7</v>
      </c>
      <c r="N130">
        <v>0.40200000000000002</v>
      </c>
      <c r="O130">
        <v>0.59799999999999998</v>
      </c>
      <c r="P130">
        <v>0.5</v>
      </c>
      <c r="Q130">
        <v>0.69599999999999995</v>
      </c>
      <c r="R130">
        <v>-123.2724533</v>
      </c>
      <c r="S130">
        <v>44.3014145</v>
      </c>
      <c r="T130">
        <v>5.5</v>
      </c>
      <c r="U130">
        <v>0.64411770000000002</v>
      </c>
      <c r="V130">
        <v>2.0809000000000001E-3</v>
      </c>
      <c r="W130">
        <v>478267.21875</v>
      </c>
      <c r="X130">
        <v>4905387.5</v>
      </c>
      <c r="Y130">
        <v>0</v>
      </c>
      <c r="AA130">
        <v>4</v>
      </c>
      <c r="AB130">
        <v>0</v>
      </c>
      <c r="AC130">
        <v>0.40200000000000002</v>
      </c>
      <c r="AD130">
        <v>0</v>
      </c>
      <c r="AE130">
        <v>4</v>
      </c>
      <c r="AF130">
        <v>0</v>
      </c>
      <c r="AG130">
        <v>0.40200000000000002</v>
      </c>
      <c r="AH130">
        <v>0</v>
      </c>
      <c r="AI130">
        <v>31.052177400000001</v>
      </c>
      <c r="AJ130">
        <v>1E-4</v>
      </c>
      <c r="AK130">
        <v>0</v>
      </c>
      <c r="AL130">
        <v>1.27321E-2</v>
      </c>
      <c r="AM130">
        <v>1</v>
      </c>
      <c r="AN130">
        <v>1</v>
      </c>
      <c r="AO130">
        <v>71</v>
      </c>
      <c r="AP130">
        <v>71</v>
      </c>
      <c r="AQ130">
        <v>4450</v>
      </c>
      <c r="AR130">
        <v>793</v>
      </c>
      <c r="AS130">
        <v>2025</v>
      </c>
      <c r="AT130" s="23">
        <v>45819</v>
      </c>
      <c r="AU130" s="23" t="s">
        <v>178</v>
      </c>
      <c r="AV130">
        <v>0</v>
      </c>
      <c r="AW130">
        <v>478267.21</v>
      </c>
      <c r="AX130">
        <v>4905387.5</v>
      </c>
      <c r="AY130">
        <v>1256.63706143591</v>
      </c>
      <c r="AZ130">
        <v>125663.706143591</v>
      </c>
      <c r="BA130">
        <v>5.41127E-2</v>
      </c>
      <c r="BB130">
        <v>5.80916E-2</v>
      </c>
      <c r="BC130">
        <v>7.9580000000000004E-4</v>
      </c>
      <c r="BD130">
        <v>4.1380599999999997E-2</v>
      </c>
      <c r="BE130">
        <v>4.5359400000000001E-2</v>
      </c>
      <c r="BF130">
        <v>-1.19363E-2</v>
      </c>
    </row>
    <row r="131" spans="1:58">
      <c r="A131">
        <v>5129</v>
      </c>
      <c r="B131" t="s">
        <v>185</v>
      </c>
      <c r="C131" t="s">
        <v>86</v>
      </c>
      <c r="G131" s="23">
        <v>43668</v>
      </c>
      <c r="H131">
        <v>3</v>
      </c>
      <c r="I131">
        <v>4607</v>
      </c>
      <c r="J131">
        <v>7</v>
      </c>
      <c r="K131">
        <v>8</v>
      </c>
      <c r="L131">
        <v>6</v>
      </c>
      <c r="M131">
        <v>7</v>
      </c>
      <c r="N131">
        <v>0.69599999999999995</v>
      </c>
      <c r="O131">
        <v>0.79400000000000004</v>
      </c>
      <c r="P131">
        <v>0.59799999999999998</v>
      </c>
      <c r="Q131">
        <v>0.69599999999999995</v>
      </c>
      <c r="R131">
        <v>-123.36186979999999</v>
      </c>
      <c r="S131">
        <v>44.323425299999997</v>
      </c>
      <c r="T131">
        <v>7</v>
      </c>
      <c r="U131">
        <v>0.81705879999999997</v>
      </c>
      <c r="V131">
        <v>6.1146999999999998E-3</v>
      </c>
      <c r="W131">
        <v>471145.53125</v>
      </c>
      <c r="X131">
        <v>4907859.5</v>
      </c>
      <c r="Y131">
        <v>0</v>
      </c>
      <c r="AA131">
        <v>3</v>
      </c>
      <c r="AB131">
        <v>0</v>
      </c>
      <c r="AC131">
        <v>0.30399999999999999</v>
      </c>
      <c r="AD131">
        <v>0</v>
      </c>
      <c r="AE131">
        <v>7</v>
      </c>
      <c r="AF131">
        <v>2.4945999999999999E-2</v>
      </c>
      <c r="AG131">
        <v>0.69599999999999995</v>
      </c>
      <c r="AH131">
        <v>0</v>
      </c>
      <c r="AI131">
        <v>31.052177400000001</v>
      </c>
      <c r="AJ131">
        <v>0.14329</v>
      </c>
      <c r="AK131">
        <v>1</v>
      </c>
      <c r="AL131">
        <v>6.0086199999999999E-2</v>
      </c>
      <c r="AM131">
        <v>1</v>
      </c>
      <c r="AN131">
        <v>1</v>
      </c>
      <c r="AO131">
        <v>69</v>
      </c>
      <c r="AP131">
        <v>69</v>
      </c>
      <c r="AQ131">
        <v>4607</v>
      </c>
      <c r="AR131">
        <v>791</v>
      </c>
      <c r="AS131">
        <v>2025</v>
      </c>
      <c r="AT131" s="23">
        <v>45819</v>
      </c>
      <c r="AU131" s="23" t="s">
        <v>178</v>
      </c>
      <c r="AV131">
        <v>0</v>
      </c>
      <c r="AW131">
        <v>471145.53</v>
      </c>
      <c r="AX131">
        <v>4907859.5</v>
      </c>
      <c r="AY131">
        <v>1256.63706143591</v>
      </c>
      <c r="AZ131">
        <v>125663.706143591</v>
      </c>
      <c r="BA131">
        <v>5.8632999999999998E-2</v>
      </c>
      <c r="BB131">
        <v>5.5449900000000003E-2</v>
      </c>
      <c r="BC131">
        <v>5.6313000000000002E-2</v>
      </c>
      <c r="BD131">
        <v>-1.4532E-3</v>
      </c>
      <c r="BE131">
        <v>-4.6363000000000003E-3</v>
      </c>
      <c r="BF131">
        <v>-3.7732E-3</v>
      </c>
    </row>
    <row r="132" spans="1:58">
      <c r="A132">
        <v>5261</v>
      </c>
      <c r="B132" t="s">
        <v>185</v>
      </c>
      <c r="C132" t="s">
        <v>86</v>
      </c>
      <c r="G132" s="23">
        <v>43668</v>
      </c>
      <c r="H132">
        <v>3</v>
      </c>
      <c r="I132">
        <v>4704</v>
      </c>
      <c r="J132">
        <v>6</v>
      </c>
      <c r="K132">
        <v>7</v>
      </c>
      <c r="L132">
        <v>8</v>
      </c>
      <c r="M132">
        <v>8</v>
      </c>
      <c r="N132">
        <v>0.59799999999999998</v>
      </c>
      <c r="O132">
        <v>0.69599999999999995</v>
      </c>
      <c r="P132">
        <v>0.79400000000000004</v>
      </c>
      <c r="Q132">
        <v>0.79400000000000004</v>
      </c>
      <c r="R132">
        <v>-123.33222960000001</v>
      </c>
      <c r="S132">
        <v>44.436988800000002</v>
      </c>
      <c r="T132">
        <v>7.25</v>
      </c>
      <c r="U132">
        <v>0.84588240000000003</v>
      </c>
      <c r="V132">
        <v>0.17198440000000001</v>
      </c>
      <c r="W132">
        <v>473560.28125</v>
      </c>
      <c r="X132">
        <v>4920463.5</v>
      </c>
      <c r="Y132">
        <v>0</v>
      </c>
      <c r="AA132">
        <v>6</v>
      </c>
      <c r="AB132">
        <v>8.3357000000000001E-2</v>
      </c>
      <c r="AC132">
        <v>0.59799999999999998</v>
      </c>
      <c r="AD132">
        <v>1</v>
      </c>
      <c r="AE132">
        <v>7</v>
      </c>
      <c r="AF132">
        <v>8.5639300000000002E-2</v>
      </c>
      <c r="AG132">
        <v>0.69599999999999995</v>
      </c>
      <c r="AH132">
        <v>0</v>
      </c>
      <c r="AI132">
        <v>31.052177400000001</v>
      </c>
      <c r="AJ132">
        <v>5.9769000000000003E-3</v>
      </c>
      <c r="AK132">
        <v>0</v>
      </c>
      <c r="AL132">
        <v>3.3484800000000002E-2</v>
      </c>
      <c r="AM132">
        <v>1</v>
      </c>
      <c r="AN132">
        <v>1</v>
      </c>
      <c r="AO132">
        <v>67</v>
      </c>
      <c r="AP132">
        <v>67</v>
      </c>
      <c r="AQ132">
        <v>4704</v>
      </c>
      <c r="AR132">
        <v>789</v>
      </c>
      <c r="AS132">
        <v>2025</v>
      </c>
      <c r="AT132" s="23">
        <v>45819</v>
      </c>
      <c r="AU132" s="23" t="s">
        <v>178</v>
      </c>
      <c r="AV132">
        <v>0</v>
      </c>
      <c r="AW132">
        <v>473560.28</v>
      </c>
      <c r="AX132">
        <v>4920463.5</v>
      </c>
      <c r="AY132">
        <v>1256.63706143591</v>
      </c>
      <c r="AZ132">
        <v>125663.706143591</v>
      </c>
      <c r="BA132">
        <v>7.9580000000000004E-4</v>
      </c>
      <c r="BB132">
        <v>7.9580000000000004E-4</v>
      </c>
      <c r="BC132">
        <v>7.9580000000000004E-4</v>
      </c>
      <c r="BD132">
        <v>-3.2689000000000003E-2</v>
      </c>
      <c r="BE132">
        <v>-3.2689000000000003E-2</v>
      </c>
      <c r="BF132">
        <v>-3.2689000000000003E-2</v>
      </c>
    </row>
    <row r="133" spans="1:58">
      <c r="A133">
        <v>201</v>
      </c>
      <c r="B133" t="s">
        <v>186</v>
      </c>
      <c r="C133" t="s">
        <v>146</v>
      </c>
      <c r="D133" t="s">
        <v>137</v>
      </c>
      <c r="G133" s="23">
        <v>43668</v>
      </c>
      <c r="H133">
        <v>1</v>
      </c>
      <c r="I133">
        <v>700</v>
      </c>
      <c r="J133">
        <v>5</v>
      </c>
      <c r="K133">
        <v>6</v>
      </c>
      <c r="L133">
        <v>5</v>
      </c>
      <c r="M133">
        <v>7</v>
      </c>
      <c r="N133">
        <v>0.5</v>
      </c>
      <c r="O133">
        <v>0.59799999999999998</v>
      </c>
      <c r="P133">
        <v>0.5</v>
      </c>
      <c r="Q133">
        <v>0.69599999999999995</v>
      </c>
      <c r="R133">
        <v>-122.917244</v>
      </c>
      <c r="S133">
        <v>44.995231599999997</v>
      </c>
      <c r="T133">
        <v>5.75</v>
      </c>
      <c r="U133">
        <v>0.67294109999999996</v>
      </c>
      <c r="V133">
        <v>4.7746000000000004E-3</v>
      </c>
      <c r="W133">
        <v>506523.1875</v>
      </c>
      <c r="X133">
        <v>4982424</v>
      </c>
      <c r="Y133">
        <v>0</v>
      </c>
      <c r="AA133">
        <v>8</v>
      </c>
      <c r="AB133">
        <v>2.18981E-2</v>
      </c>
      <c r="AC133">
        <v>0.79400000000000004</v>
      </c>
      <c r="AD133">
        <v>0</v>
      </c>
      <c r="AE133">
        <v>5</v>
      </c>
      <c r="AF133">
        <v>0</v>
      </c>
      <c r="AG133">
        <v>0.5</v>
      </c>
      <c r="AH133">
        <v>0</v>
      </c>
      <c r="AI133">
        <v>31.052177400000001</v>
      </c>
      <c r="AJ133">
        <v>7.4320000000000002E-3</v>
      </c>
      <c r="AK133">
        <v>0</v>
      </c>
      <c r="AL133">
        <v>0.2426625</v>
      </c>
      <c r="AM133">
        <v>1</v>
      </c>
      <c r="AN133">
        <v>1</v>
      </c>
      <c r="AO133">
        <v>125</v>
      </c>
      <c r="AP133">
        <v>125</v>
      </c>
      <c r="AQ133">
        <v>700</v>
      </c>
      <c r="AR133">
        <v>848</v>
      </c>
      <c r="AS133">
        <v>2025</v>
      </c>
      <c r="AT133" s="23">
        <v>45820</v>
      </c>
      <c r="AU133" s="23" t="s">
        <v>178</v>
      </c>
      <c r="AV133">
        <v>0</v>
      </c>
      <c r="AW133">
        <v>506523.179999999</v>
      </c>
      <c r="AX133">
        <v>4982424</v>
      </c>
      <c r="AY133">
        <v>1256.63706143591</v>
      </c>
      <c r="AZ133">
        <v>125663.706143591</v>
      </c>
      <c r="BA133">
        <v>7.9580000000000004E-4</v>
      </c>
      <c r="BB133">
        <v>0.1037926</v>
      </c>
      <c r="BC133">
        <v>7.9580000000000004E-4</v>
      </c>
      <c r="BD133">
        <v>-0.24186669999999999</v>
      </c>
      <c r="BE133">
        <v>-0.13886979999999999</v>
      </c>
      <c r="BF133">
        <v>-0.24186669999999999</v>
      </c>
    </row>
    <row r="134" spans="1:58">
      <c r="A134">
        <v>555</v>
      </c>
      <c r="B134" t="s">
        <v>187</v>
      </c>
      <c r="C134" t="s">
        <v>86</v>
      </c>
      <c r="G134" s="23">
        <v>43668</v>
      </c>
      <c r="H134">
        <v>3</v>
      </c>
      <c r="I134">
        <v>984</v>
      </c>
      <c r="J134">
        <v>6</v>
      </c>
      <c r="K134">
        <v>8</v>
      </c>
      <c r="L134">
        <v>5</v>
      </c>
      <c r="M134">
        <v>8</v>
      </c>
      <c r="N134">
        <v>0.59799999999999998</v>
      </c>
      <c r="O134">
        <v>0.79400000000000004</v>
      </c>
      <c r="P134">
        <v>0.5</v>
      </c>
      <c r="Q134">
        <v>0.79400000000000004</v>
      </c>
      <c r="R134">
        <v>-123.27600099999999</v>
      </c>
      <c r="S134">
        <v>44.976184799999999</v>
      </c>
      <c r="T134">
        <v>6.75</v>
      </c>
      <c r="U134">
        <v>0.78823529999999997</v>
      </c>
      <c r="V134">
        <v>0.46126620000000002</v>
      </c>
      <c r="W134">
        <v>478237.96875</v>
      </c>
      <c r="X134">
        <v>4980342</v>
      </c>
      <c r="Y134">
        <v>0</v>
      </c>
      <c r="AA134">
        <v>8</v>
      </c>
      <c r="AB134">
        <v>0.1450187</v>
      </c>
      <c r="AC134">
        <v>0.79400000000000004</v>
      </c>
      <c r="AD134">
        <v>0</v>
      </c>
      <c r="AE134">
        <v>8</v>
      </c>
      <c r="AF134">
        <v>0.36172399999999999</v>
      </c>
      <c r="AG134">
        <v>0.79400000000000004</v>
      </c>
      <c r="AH134">
        <v>0</v>
      </c>
      <c r="AI134">
        <v>31.052177400000001</v>
      </c>
      <c r="AJ134">
        <v>0.15633069999999999</v>
      </c>
      <c r="AK134">
        <v>1</v>
      </c>
      <c r="AL134">
        <v>0.15197640000000001</v>
      </c>
      <c r="AM134">
        <v>1</v>
      </c>
      <c r="AN134">
        <v>1</v>
      </c>
      <c r="AO134">
        <v>120</v>
      </c>
      <c r="AP134">
        <v>120</v>
      </c>
      <c r="AQ134">
        <v>984</v>
      </c>
      <c r="AR134">
        <v>843</v>
      </c>
      <c r="AS134">
        <v>2025</v>
      </c>
      <c r="AT134" s="23">
        <v>45820</v>
      </c>
      <c r="AU134" s="23" t="s">
        <v>178</v>
      </c>
      <c r="AV134">
        <v>0</v>
      </c>
      <c r="AW134">
        <v>478237.96</v>
      </c>
      <c r="AX134">
        <v>4980342</v>
      </c>
      <c r="AY134">
        <v>1256.63706143591</v>
      </c>
      <c r="AZ134">
        <v>125663.706143591</v>
      </c>
      <c r="BA134">
        <v>0.1856236</v>
      </c>
      <c r="BB134">
        <v>0.55726229999999999</v>
      </c>
      <c r="BC134">
        <v>1.12777E-2</v>
      </c>
      <c r="BD134">
        <v>3.3647200000000002E-2</v>
      </c>
      <c r="BE134">
        <v>0.40528589999999998</v>
      </c>
      <c r="BF134">
        <v>-0.14069870000000001</v>
      </c>
    </row>
    <row r="135" spans="1:58">
      <c r="A135">
        <v>1995</v>
      </c>
      <c r="B135" t="s">
        <v>187</v>
      </c>
      <c r="C135" t="s">
        <v>86</v>
      </c>
      <c r="G135" s="23">
        <v>43668</v>
      </c>
      <c r="H135">
        <v>3</v>
      </c>
      <c r="I135">
        <v>2181</v>
      </c>
      <c r="J135">
        <v>8</v>
      </c>
      <c r="K135">
        <v>7</v>
      </c>
      <c r="L135">
        <v>6</v>
      </c>
      <c r="M135">
        <v>8</v>
      </c>
      <c r="N135">
        <v>0.79400000000000004</v>
      </c>
      <c r="O135">
        <v>0.69599999999999995</v>
      </c>
      <c r="P135">
        <v>0.59799999999999998</v>
      </c>
      <c r="Q135">
        <v>0.79400000000000004</v>
      </c>
      <c r="R135">
        <v>-123.25616460000001</v>
      </c>
      <c r="S135">
        <v>44.983531999999997</v>
      </c>
      <c r="T135">
        <v>7.25</v>
      </c>
      <c r="U135">
        <v>0.84588240000000003</v>
      </c>
      <c r="V135">
        <v>0.5019323</v>
      </c>
      <c r="W135">
        <v>479804.71875</v>
      </c>
      <c r="X135">
        <v>4981153</v>
      </c>
      <c r="Y135">
        <v>0</v>
      </c>
      <c r="AA135">
        <v>8</v>
      </c>
      <c r="AB135">
        <v>0.29321269999999999</v>
      </c>
      <c r="AC135">
        <v>0.79400000000000004</v>
      </c>
      <c r="AD135">
        <v>0</v>
      </c>
      <c r="AE135">
        <v>7</v>
      </c>
      <c r="AF135">
        <v>0.1769753</v>
      </c>
      <c r="AG135">
        <v>0.69599999999999995</v>
      </c>
      <c r="AH135">
        <v>1</v>
      </c>
      <c r="AI135">
        <v>31.052177400000001</v>
      </c>
      <c r="AJ135">
        <v>0.82970880000000002</v>
      </c>
      <c r="AK135">
        <v>1</v>
      </c>
      <c r="AL135">
        <v>9.5977499999999993E-2</v>
      </c>
      <c r="AM135">
        <v>1</v>
      </c>
      <c r="AN135">
        <v>1</v>
      </c>
      <c r="AO135">
        <v>119</v>
      </c>
      <c r="AP135">
        <v>119</v>
      </c>
      <c r="AQ135">
        <v>2181</v>
      </c>
      <c r="AR135">
        <v>842</v>
      </c>
      <c r="AS135">
        <v>2025</v>
      </c>
      <c r="AT135" s="23">
        <v>45820</v>
      </c>
      <c r="AU135" s="23" t="s">
        <v>178</v>
      </c>
      <c r="AV135">
        <v>3</v>
      </c>
      <c r="AW135">
        <v>479804.71</v>
      </c>
      <c r="AX135">
        <v>4981153</v>
      </c>
      <c r="AY135">
        <v>1256.63706143591</v>
      </c>
      <c r="AZ135">
        <v>125663.706143591</v>
      </c>
      <c r="BA135">
        <v>0.75084810000000002</v>
      </c>
      <c r="BB135">
        <v>0.10325529999999999</v>
      </c>
      <c r="BC135">
        <v>1.5915E-3</v>
      </c>
      <c r="BD135">
        <v>0.65487059999999997</v>
      </c>
      <c r="BE135">
        <v>7.2778000000000001E-3</v>
      </c>
      <c r="BF135">
        <v>-9.4385999999999998E-2</v>
      </c>
    </row>
    <row r="136" spans="1:58">
      <c r="A136">
        <v>2764</v>
      </c>
      <c r="B136" t="s">
        <v>188</v>
      </c>
      <c r="C136" t="s">
        <v>86</v>
      </c>
      <c r="D136" t="s">
        <v>137</v>
      </c>
      <c r="G136" s="23">
        <v>43668</v>
      </c>
      <c r="H136">
        <v>1</v>
      </c>
      <c r="I136">
        <v>2837</v>
      </c>
      <c r="J136">
        <v>5</v>
      </c>
      <c r="K136">
        <v>6</v>
      </c>
      <c r="L136">
        <v>5</v>
      </c>
      <c r="M136">
        <v>7</v>
      </c>
      <c r="N136">
        <v>0.5</v>
      </c>
      <c r="O136">
        <v>0.59799999999999998</v>
      </c>
      <c r="P136">
        <v>0.5</v>
      </c>
      <c r="Q136">
        <v>0.69599999999999995</v>
      </c>
      <c r="R136">
        <v>-122.9120941</v>
      </c>
      <c r="S136">
        <v>44.969848599999999</v>
      </c>
      <c r="T136">
        <v>5.75</v>
      </c>
      <c r="U136">
        <v>0.67294109999999996</v>
      </c>
      <c r="V136">
        <v>5.4489999999999996E-4</v>
      </c>
      <c r="W136">
        <v>506932.25</v>
      </c>
      <c r="X136">
        <v>4979605</v>
      </c>
      <c r="Y136">
        <v>0</v>
      </c>
      <c r="AA136">
        <v>5</v>
      </c>
      <c r="AB136">
        <v>0</v>
      </c>
      <c r="AC136">
        <v>0.5</v>
      </c>
      <c r="AD136">
        <v>0</v>
      </c>
      <c r="AE136">
        <v>5</v>
      </c>
      <c r="AF136">
        <v>1.0947999999999999E-3</v>
      </c>
      <c r="AG136">
        <v>0.5</v>
      </c>
      <c r="AH136">
        <v>0</v>
      </c>
      <c r="AI136">
        <v>31.052177400000001</v>
      </c>
      <c r="AJ136">
        <v>7.9580000000000004E-4</v>
      </c>
      <c r="AK136">
        <v>0</v>
      </c>
      <c r="AL136">
        <v>0.13932249999999999</v>
      </c>
      <c r="AM136">
        <v>1</v>
      </c>
      <c r="AN136">
        <v>1</v>
      </c>
      <c r="AO136">
        <v>124</v>
      </c>
      <c r="AP136">
        <v>124</v>
      </c>
      <c r="AQ136">
        <v>2837</v>
      </c>
      <c r="AR136">
        <v>847</v>
      </c>
      <c r="AS136">
        <v>2025</v>
      </c>
      <c r="AT136" s="23">
        <v>45820</v>
      </c>
      <c r="AU136" s="23" t="s">
        <v>178</v>
      </c>
      <c r="AV136">
        <v>0</v>
      </c>
      <c r="AW136">
        <v>506932.25</v>
      </c>
      <c r="AX136">
        <v>4979605</v>
      </c>
      <c r="AY136">
        <v>1256.63706143591</v>
      </c>
      <c r="AZ136">
        <v>125663.706143591</v>
      </c>
      <c r="BA136">
        <v>0.16876759999999999</v>
      </c>
      <c r="BB136">
        <v>0.15057809999999999</v>
      </c>
      <c r="BC136">
        <v>6.8280000000000001E-4</v>
      </c>
      <c r="BD136">
        <v>2.9445200000000001E-2</v>
      </c>
      <c r="BE136">
        <v>1.12557E-2</v>
      </c>
      <c r="BF136">
        <v>-0.1386396</v>
      </c>
    </row>
    <row r="137" spans="1:58">
      <c r="A137">
        <v>3911</v>
      </c>
      <c r="B137" t="s">
        <v>189</v>
      </c>
      <c r="C137" t="s">
        <v>98</v>
      </c>
      <c r="G137" s="23">
        <v>43668</v>
      </c>
      <c r="H137">
        <v>3</v>
      </c>
      <c r="I137">
        <v>3719</v>
      </c>
      <c r="J137">
        <v>7</v>
      </c>
      <c r="K137">
        <v>6</v>
      </c>
      <c r="L137">
        <v>8</v>
      </c>
      <c r="M137">
        <v>8</v>
      </c>
      <c r="N137">
        <v>0.69599999999999995</v>
      </c>
      <c r="O137">
        <v>0.59799999999999998</v>
      </c>
      <c r="P137">
        <v>0.79400000000000004</v>
      </c>
      <c r="Q137">
        <v>0.79400000000000004</v>
      </c>
      <c r="R137">
        <v>-123.2640152</v>
      </c>
      <c r="S137">
        <v>44.948368100000003</v>
      </c>
      <c r="T137">
        <v>7.25</v>
      </c>
      <c r="U137">
        <v>0.84588240000000003</v>
      </c>
      <c r="V137">
        <v>0.53811279999999995</v>
      </c>
      <c r="W137">
        <v>479172.6875</v>
      </c>
      <c r="X137">
        <v>4977249</v>
      </c>
      <c r="Y137">
        <v>1</v>
      </c>
      <c r="Z137">
        <v>0</v>
      </c>
      <c r="AA137">
        <v>5</v>
      </c>
      <c r="AB137">
        <v>0</v>
      </c>
      <c r="AC137">
        <v>0.5</v>
      </c>
      <c r="AD137">
        <v>0</v>
      </c>
      <c r="AE137">
        <v>6</v>
      </c>
      <c r="AF137">
        <v>2.9528200000000001E-2</v>
      </c>
      <c r="AG137">
        <v>0.59799999999999998</v>
      </c>
      <c r="AH137">
        <v>0</v>
      </c>
      <c r="AI137">
        <v>31.052177400000001</v>
      </c>
      <c r="AJ137">
        <v>0.13919989999999999</v>
      </c>
      <c r="AK137">
        <v>1</v>
      </c>
      <c r="AL137">
        <v>0.190416</v>
      </c>
      <c r="AM137">
        <v>1</v>
      </c>
      <c r="AN137">
        <v>1</v>
      </c>
      <c r="AO137">
        <v>117</v>
      </c>
      <c r="AP137">
        <v>117</v>
      </c>
      <c r="AQ137">
        <v>3719</v>
      </c>
      <c r="AR137">
        <v>840</v>
      </c>
      <c r="AS137">
        <v>2025</v>
      </c>
      <c r="AT137" s="23">
        <v>45820</v>
      </c>
      <c r="AU137" s="23" t="s">
        <v>178</v>
      </c>
      <c r="AV137">
        <v>2</v>
      </c>
      <c r="AW137">
        <v>479172.679999999</v>
      </c>
      <c r="AX137">
        <v>4977249</v>
      </c>
      <c r="AY137">
        <v>1256.63706143591</v>
      </c>
      <c r="AZ137">
        <v>125663.706143591</v>
      </c>
      <c r="BA137">
        <v>1.40982E-2</v>
      </c>
      <c r="BB137">
        <v>1.7313599999999998E-2</v>
      </c>
      <c r="BC137">
        <v>7.9569999999999999E-4</v>
      </c>
      <c r="BD137">
        <v>-0.1763178</v>
      </c>
      <c r="BE137">
        <v>-0.17310239999999999</v>
      </c>
      <c r="BF137">
        <v>-0.18962029999999999</v>
      </c>
    </row>
    <row r="138" spans="1:58">
      <c r="A138">
        <v>5466</v>
      </c>
      <c r="B138" t="s">
        <v>190</v>
      </c>
      <c r="C138" t="s">
        <v>86</v>
      </c>
      <c r="G138" s="23">
        <v>43668</v>
      </c>
      <c r="H138">
        <v>3</v>
      </c>
      <c r="I138">
        <v>4867</v>
      </c>
      <c r="J138">
        <v>6</v>
      </c>
      <c r="K138">
        <v>8</v>
      </c>
      <c r="L138">
        <v>5</v>
      </c>
      <c r="M138">
        <v>8</v>
      </c>
      <c r="N138">
        <v>0.59799999999999998</v>
      </c>
      <c r="O138">
        <v>0.79400000000000004</v>
      </c>
      <c r="P138">
        <v>0.5</v>
      </c>
      <c r="Q138">
        <v>0.79400000000000004</v>
      </c>
      <c r="R138">
        <v>-123.18709560000001</v>
      </c>
      <c r="S138">
        <v>44.970569599999997</v>
      </c>
      <c r="T138">
        <v>6.75</v>
      </c>
      <c r="U138">
        <v>0.78823529999999997</v>
      </c>
      <c r="V138">
        <v>0.1217606</v>
      </c>
      <c r="W138">
        <v>485246.5625</v>
      </c>
      <c r="X138">
        <v>4979698</v>
      </c>
      <c r="Y138">
        <v>0</v>
      </c>
      <c r="AA138">
        <v>5</v>
      </c>
      <c r="AB138">
        <v>5.4949999999999997E-4</v>
      </c>
      <c r="AC138">
        <v>0.5</v>
      </c>
      <c r="AD138">
        <v>1</v>
      </c>
      <c r="AE138">
        <v>6</v>
      </c>
      <c r="AF138">
        <v>1.8226E-3</v>
      </c>
      <c r="AG138">
        <v>0.59799999999999998</v>
      </c>
      <c r="AH138">
        <v>0</v>
      </c>
      <c r="AI138">
        <v>31.052177400000001</v>
      </c>
      <c r="AJ138">
        <v>1E-4</v>
      </c>
      <c r="AK138">
        <v>0</v>
      </c>
      <c r="AL138">
        <v>0.2311049</v>
      </c>
      <c r="AM138">
        <v>1</v>
      </c>
      <c r="AN138">
        <v>1</v>
      </c>
      <c r="AO138">
        <v>121</v>
      </c>
      <c r="AP138">
        <v>121</v>
      </c>
      <c r="AQ138">
        <v>4867</v>
      </c>
      <c r="AR138">
        <v>844</v>
      </c>
      <c r="AS138">
        <v>2025</v>
      </c>
      <c r="AT138" s="23">
        <v>45820</v>
      </c>
      <c r="AU138" s="23" t="s">
        <v>178</v>
      </c>
      <c r="AV138">
        <v>0</v>
      </c>
      <c r="AW138">
        <v>485246.55999999901</v>
      </c>
      <c r="AX138">
        <v>4979698</v>
      </c>
      <c r="AY138">
        <v>1256.63706143591</v>
      </c>
      <c r="AZ138">
        <v>125663.706143591</v>
      </c>
      <c r="BA138">
        <v>0.16011030000000001</v>
      </c>
      <c r="BB138">
        <v>5.5684999999999997E-3</v>
      </c>
      <c r="BC138">
        <v>1.03432E-2</v>
      </c>
      <c r="BD138">
        <v>-7.0994600000000005E-2</v>
      </c>
      <c r="BE138">
        <v>-0.2255363</v>
      </c>
      <c r="BF138">
        <v>-0.22076170000000001</v>
      </c>
    </row>
    <row r="139" spans="1:58">
      <c r="A139">
        <v>6333</v>
      </c>
      <c r="B139" t="s">
        <v>191</v>
      </c>
      <c r="C139" t="s">
        <v>86</v>
      </c>
      <c r="G139" s="23">
        <v>43668</v>
      </c>
      <c r="H139">
        <v>3</v>
      </c>
      <c r="I139">
        <v>5452</v>
      </c>
      <c r="J139">
        <v>5</v>
      </c>
      <c r="K139">
        <v>7</v>
      </c>
      <c r="L139">
        <v>7</v>
      </c>
      <c r="M139">
        <v>8</v>
      </c>
      <c r="N139">
        <v>0.5</v>
      </c>
      <c r="O139">
        <v>0.69599999999999995</v>
      </c>
      <c r="P139">
        <v>0.69599999999999995</v>
      </c>
      <c r="Q139">
        <v>0.79400000000000004</v>
      </c>
      <c r="R139">
        <v>-123.2742157</v>
      </c>
      <c r="S139">
        <v>44.959278099999999</v>
      </c>
      <c r="T139">
        <v>6.75</v>
      </c>
      <c r="U139">
        <v>0.78823529999999997</v>
      </c>
      <c r="V139">
        <v>0.255492</v>
      </c>
      <c r="W139">
        <v>478372.125</v>
      </c>
      <c r="X139">
        <v>4978463.5</v>
      </c>
      <c r="Y139">
        <v>0</v>
      </c>
      <c r="AA139">
        <v>3</v>
      </c>
      <c r="AB139">
        <v>0</v>
      </c>
      <c r="AC139">
        <v>0.30399999999999999</v>
      </c>
      <c r="AD139">
        <v>0</v>
      </c>
      <c r="AE139">
        <v>7</v>
      </c>
      <c r="AF139">
        <v>1.8332500000000002E-2</v>
      </c>
      <c r="AG139">
        <v>0.69599999999999995</v>
      </c>
      <c r="AH139">
        <v>0</v>
      </c>
      <c r="AI139">
        <v>31.052177400000001</v>
      </c>
      <c r="AJ139">
        <v>5.68684E-2</v>
      </c>
      <c r="AK139">
        <v>0</v>
      </c>
      <c r="AL139">
        <v>0.14497889999999999</v>
      </c>
      <c r="AM139">
        <v>1</v>
      </c>
      <c r="AN139">
        <v>1</v>
      </c>
      <c r="AO139">
        <v>118</v>
      </c>
      <c r="AP139">
        <v>118</v>
      </c>
      <c r="AQ139">
        <v>5452</v>
      </c>
      <c r="AR139">
        <v>841</v>
      </c>
      <c r="AS139">
        <v>2025</v>
      </c>
      <c r="AT139" s="23">
        <v>45820</v>
      </c>
      <c r="AU139" s="23" t="s">
        <v>178</v>
      </c>
      <c r="AV139">
        <v>0</v>
      </c>
      <c r="AW139">
        <v>478372.11999999901</v>
      </c>
      <c r="AX139">
        <v>4978463.5</v>
      </c>
      <c r="AY139">
        <v>1256.63706143591</v>
      </c>
      <c r="AZ139">
        <v>125663.706143591</v>
      </c>
      <c r="BA139">
        <v>0.17668300000000001</v>
      </c>
      <c r="BB139">
        <v>0.16176189999999999</v>
      </c>
      <c r="BC139">
        <v>0.1157406</v>
      </c>
      <c r="BD139">
        <v>3.1704099999999999E-2</v>
      </c>
      <c r="BE139">
        <v>1.6782999999999999E-2</v>
      </c>
      <c r="BF139">
        <v>-2.9238299999999998E-2</v>
      </c>
    </row>
    <row r="140" spans="1:58">
      <c r="A140">
        <v>6392</v>
      </c>
      <c r="B140" t="s">
        <v>192</v>
      </c>
      <c r="C140" t="s">
        <v>86</v>
      </c>
      <c r="D140" t="s">
        <v>148</v>
      </c>
      <c r="G140" s="23">
        <v>43668</v>
      </c>
      <c r="H140">
        <v>3</v>
      </c>
      <c r="I140">
        <v>5500</v>
      </c>
      <c r="J140">
        <v>5</v>
      </c>
      <c r="K140">
        <v>8</v>
      </c>
      <c r="L140">
        <v>5</v>
      </c>
      <c r="M140">
        <v>8</v>
      </c>
      <c r="N140">
        <v>0.5</v>
      </c>
      <c r="O140">
        <v>0.79400000000000004</v>
      </c>
      <c r="P140">
        <v>0.5</v>
      </c>
      <c r="Q140">
        <v>0.79400000000000004</v>
      </c>
      <c r="R140">
        <v>-123.1814499</v>
      </c>
      <c r="S140">
        <v>44.944641099999998</v>
      </c>
      <c r="T140">
        <v>6.5</v>
      </c>
      <c r="U140">
        <v>0.75941179999999997</v>
      </c>
      <c r="V140">
        <v>7.4809000000000004E-3</v>
      </c>
      <c r="W140">
        <v>485685.4375</v>
      </c>
      <c r="X140">
        <v>4976816.5</v>
      </c>
      <c r="Y140">
        <v>0</v>
      </c>
      <c r="AA140">
        <v>5</v>
      </c>
      <c r="AB140">
        <v>0</v>
      </c>
      <c r="AC140">
        <v>0.5</v>
      </c>
      <c r="AD140">
        <v>0</v>
      </c>
      <c r="AE140">
        <v>6</v>
      </c>
      <c r="AF140">
        <v>3.3541599999999998E-2</v>
      </c>
      <c r="AG140">
        <v>0.59799999999999998</v>
      </c>
      <c r="AH140">
        <v>0</v>
      </c>
      <c r="AI140">
        <v>31.052177400000001</v>
      </c>
      <c r="AJ140">
        <v>0.12591189999999999</v>
      </c>
      <c r="AK140">
        <v>1</v>
      </c>
      <c r="AL140">
        <v>0.15548139999999999</v>
      </c>
      <c r="AM140">
        <v>1</v>
      </c>
      <c r="AN140">
        <v>1</v>
      </c>
      <c r="AO140">
        <v>123</v>
      </c>
      <c r="AP140">
        <v>123</v>
      </c>
      <c r="AQ140">
        <v>5500</v>
      </c>
      <c r="AR140">
        <v>846</v>
      </c>
      <c r="AS140">
        <v>2025</v>
      </c>
      <c r="AT140" s="23">
        <v>45820</v>
      </c>
      <c r="AU140" s="23" t="s">
        <v>178</v>
      </c>
      <c r="AV140">
        <v>0</v>
      </c>
      <c r="AW140">
        <v>485685.429999999</v>
      </c>
      <c r="AX140">
        <v>4976816.5</v>
      </c>
      <c r="AY140">
        <v>1256.63706143591</v>
      </c>
      <c r="AZ140">
        <v>125663.706143591</v>
      </c>
      <c r="BA140">
        <v>7.9580000000000004E-4</v>
      </c>
      <c r="BB140">
        <v>7.9580000000000004E-4</v>
      </c>
      <c r="BC140">
        <v>7.9580000000000004E-4</v>
      </c>
      <c r="BD140">
        <v>-0.15468560000000001</v>
      </c>
      <c r="BE140">
        <v>-0.15468560000000001</v>
      </c>
      <c r="BF140">
        <v>-0.15468560000000001</v>
      </c>
    </row>
    <row r="141" spans="1:58">
      <c r="A141">
        <v>6395</v>
      </c>
      <c r="B141" t="s">
        <v>192</v>
      </c>
      <c r="C141" t="s">
        <v>86</v>
      </c>
      <c r="D141" t="s">
        <v>148</v>
      </c>
      <c r="G141" s="23">
        <v>43668</v>
      </c>
      <c r="H141">
        <v>3</v>
      </c>
      <c r="I141">
        <v>5503</v>
      </c>
      <c r="J141">
        <v>6</v>
      </c>
      <c r="K141">
        <v>10</v>
      </c>
      <c r="L141">
        <v>7</v>
      </c>
      <c r="M141">
        <v>8</v>
      </c>
      <c r="N141">
        <v>0.59799999999999998</v>
      </c>
      <c r="O141">
        <v>0.99</v>
      </c>
      <c r="P141">
        <v>0.69599999999999995</v>
      </c>
      <c r="Q141">
        <v>0.79400000000000004</v>
      </c>
      <c r="R141">
        <v>-123.1788864</v>
      </c>
      <c r="S141">
        <v>44.961677600000002</v>
      </c>
      <c r="T141">
        <v>7.75</v>
      </c>
      <c r="U141">
        <v>0.90352940000000004</v>
      </c>
      <c r="V141">
        <v>0.63156310000000004</v>
      </c>
      <c r="W141">
        <v>485891.4375</v>
      </c>
      <c r="X141">
        <v>4978709</v>
      </c>
      <c r="Y141">
        <v>0</v>
      </c>
      <c r="AA141">
        <v>6</v>
      </c>
      <c r="AB141">
        <v>3.3928000000000001E-3</v>
      </c>
      <c r="AC141">
        <v>0.59799999999999998</v>
      </c>
      <c r="AD141">
        <v>0</v>
      </c>
      <c r="AE141">
        <v>4</v>
      </c>
      <c r="AF141">
        <v>0</v>
      </c>
      <c r="AG141">
        <v>0.40200000000000002</v>
      </c>
      <c r="AH141">
        <v>0</v>
      </c>
      <c r="AI141">
        <v>31.052177400000001</v>
      </c>
      <c r="AJ141">
        <v>1E-4</v>
      </c>
      <c r="AK141">
        <v>0</v>
      </c>
      <c r="AL141">
        <v>0.18198010000000001</v>
      </c>
      <c r="AM141">
        <v>1</v>
      </c>
      <c r="AN141">
        <v>1</v>
      </c>
      <c r="AO141">
        <v>122</v>
      </c>
      <c r="AP141">
        <v>122</v>
      </c>
      <c r="AQ141">
        <v>5503</v>
      </c>
      <c r="AR141">
        <v>845</v>
      </c>
      <c r="AS141">
        <v>2025</v>
      </c>
      <c r="AT141" s="23">
        <v>45820</v>
      </c>
      <c r="AU141" s="23" t="s">
        <v>178</v>
      </c>
      <c r="AV141">
        <v>1</v>
      </c>
      <c r="AW141">
        <v>485891.429999999</v>
      </c>
      <c r="AX141">
        <v>4978709</v>
      </c>
      <c r="AY141">
        <v>1256.63706143591</v>
      </c>
      <c r="AZ141">
        <v>125663.706143591</v>
      </c>
      <c r="BA141">
        <v>0.18917709999999999</v>
      </c>
      <c r="BB141">
        <v>2.3340000000000001E-3</v>
      </c>
      <c r="BC141">
        <v>3.1300999999999998E-3</v>
      </c>
      <c r="BD141">
        <v>7.1970000000000003E-3</v>
      </c>
      <c r="BE141">
        <v>-0.1796461</v>
      </c>
      <c r="BF141">
        <v>-0.17885000000000001</v>
      </c>
    </row>
    <row r="142" spans="1:58">
      <c r="AV142">
        <f>SUM(AV2:AV141)</f>
        <v>48</v>
      </c>
    </row>
  </sheetData>
  <autoFilter ref="A1:BF141" xr:uid="{F0897661-B364-429D-A124-01BC1D27E224}">
    <sortState xmlns:xlrd2="http://schemas.microsoft.com/office/spreadsheetml/2017/richdata2" ref="A2:BF141">
      <sortCondition ref="AT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C96D-2325-43F0-8971-99B6FB6C5E6D}">
  <dimension ref="A1:BF112"/>
  <sheetViews>
    <sheetView topLeftCell="AI1" workbookViewId="0">
      <pane ySplit="1" topLeftCell="A61" activePane="bottomLeft" state="frozen"/>
      <selection activeCell="BM1" sqref="BM1"/>
      <selection pane="bottomLeft" activeCell="BB86" sqref="BB86:BB95"/>
    </sheetView>
  </sheetViews>
  <sheetFormatPr defaultRowHeight="14.5"/>
  <cols>
    <col min="18" max="18" width="21.26953125" bestFit="1" customWidth="1"/>
    <col min="19" max="19" width="21.453125" bestFit="1" customWidth="1"/>
    <col min="20" max="20" width="24" bestFit="1" customWidth="1"/>
    <col min="21" max="21" width="8.81640625" bestFit="1" customWidth="1"/>
    <col min="22" max="23" width="11.1796875" bestFit="1" customWidth="1"/>
    <col min="24" max="24" width="22.54296875" bestFit="1" customWidth="1"/>
    <col min="25" max="25" width="20.54296875" bestFit="1" customWidth="1"/>
    <col min="26" max="26" width="22.54296875" bestFit="1" customWidth="1"/>
    <col min="27" max="27" width="15.453125" bestFit="1" customWidth="1"/>
    <col min="48" max="48" width="18.26953125" bestFit="1" customWidth="1"/>
    <col min="53" max="53" width="25.6328125" bestFit="1" customWidth="1"/>
    <col min="54" max="55" width="25.7265625" bestFit="1" customWidth="1"/>
    <col min="56" max="56" width="29.453125" bestFit="1" customWidth="1"/>
    <col min="57" max="58" width="29.81640625" bestFit="1" customWidth="1"/>
  </cols>
  <sheetData>
    <row r="1" spans="1:58">
      <c r="A1" t="s">
        <v>7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0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</v>
      </c>
      <c r="X1" t="s">
        <v>6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8</v>
      </c>
      <c r="AR1" t="s">
        <v>1</v>
      </c>
      <c r="AS1" t="s">
        <v>2</v>
      </c>
      <c r="AT1" t="s">
        <v>3</v>
      </c>
      <c r="AU1" t="s">
        <v>193</v>
      </c>
      <c r="AV1" t="s">
        <v>4</v>
      </c>
      <c r="AW1" t="s">
        <v>73</v>
      </c>
      <c r="AX1" t="s">
        <v>74</v>
      </c>
      <c r="AY1" t="s">
        <v>9</v>
      </c>
      <c r="AZ1" t="s">
        <v>10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</row>
    <row r="2" spans="1:58">
      <c r="A2">
        <v>318</v>
      </c>
      <c r="B2" t="s">
        <v>81</v>
      </c>
      <c r="C2" t="s">
        <v>82</v>
      </c>
      <c r="D2" t="s">
        <v>83</v>
      </c>
      <c r="F2" t="s">
        <v>84</v>
      </c>
      <c r="H2">
        <v>1</v>
      </c>
      <c r="I2">
        <v>222</v>
      </c>
      <c r="J2">
        <v>6</v>
      </c>
      <c r="K2">
        <v>6</v>
      </c>
      <c r="L2">
        <v>5</v>
      </c>
      <c r="M2">
        <v>8</v>
      </c>
      <c r="N2">
        <v>0.59799999999999998</v>
      </c>
      <c r="O2">
        <v>0.59799999999999998</v>
      </c>
      <c r="P2">
        <v>0.5</v>
      </c>
      <c r="Q2">
        <v>0.79400000000000004</v>
      </c>
      <c r="R2">
        <v>-123.1465912</v>
      </c>
      <c r="S2">
        <v>45.307052599999999</v>
      </c>
      <c r="T2">
        <v>6.25</v>
      </c>
      <c r="U2">
        <v>0.73058829999999997</v>
      </c>
      <c r="V2">
        <v>1.09453E-2</v>
      </c>
      <c r="W2">
        <v>488508</v>
      </c>
      <c r="X2">
        <v>5017071.5</v>
      </c>
      <c r="Y2">
        <v>0</v>
      </c>
      <c r="AA2">
        <v>5</v>
      </c>
      <c r="AB2">
        <v>0</v>
      </c>
      <c r="AC2">
        <v>0.5</v>
      </c>
      <c r="AD2">
        <v>0</v>
      </c>
      <c r="AE2">
        <v>4</v>
      </c>
      <c r="AF2">
        <v>0</v>
      </c>
      <c r="AG2">
        <v>0.40200000000000002</v>
      </c>
      <c r="AH2">
        <v>0</v>
      </c>
      <c r="AI2">
        <v>31.052177400000001</v>
      </c>
      <c r="AJ2">
        <v>1E-4</v>
      </c>
      <c r="AK2">
        <v>0</v>
      </c>
      <c r="AL2">
        <v>1E-3</v>
      </c>
      <c r="AM2">
        <v>0</v>
      </c>
      <c r="AN2">
        <v>1</v>
      </c>
      <c r="AO2">
        <v>33</v>
      </c>
      <c r="AP2">
        <v>33</v>
      </c>
      <c r="AQ2">
        <v>222</v>
      </c>
      <c r="AR2">
        <v>739</v>
      </c>
      <c r="AS2">
        <v>2025</v>
      </c>
      <c r="AT2" s="23">
        <v>45791</v>
      </c>
      <c r="AU2" s="23" t="s">
        <v>29</v>
      </c>
      <c r="AV2">
        <v>0</v>
      </c>
      <c r="AW2">
        <v>488508</v>
      </c>
      <c r="AX2">
        <v>5017071.5</v>
      </c>
      <c r="AY2">
        <v>1256.63706143591</v>
      </c>
      <c r="AZ2">
        <v>125663.706143591</v>
      </c>
      <c r="BA2">
        <v>3.1830999999999999E-3</v>
      </c>
      <c r="BB2">
        <v>1.5915E-3</v>
      </c>
      <c r="BC2">
        <v>3.9788999999999996E-3</v>
      </c>
      <c r="BD2">
        <v>2.1830999999999999E-3</v>
      </c>
      <c r="BE2">
        <v>5.9150000000000001E-4</v>
      </c>
      <c r="BF2">
        <v>2.9789E-3</v>
      </c>
    </row>
    <row r="3" spans="1:58">
      <c r="A3">
        <v>1739</v>
      </c>
      <c r="B3" t="s">
        <v>85</v>
      </c>
      <c r="C3" t="s">
        <v>86</v>
      </c>
      <c r="D3" t="s">
        <v>11</v>
      </c>
      <c r="G3" s="23">
        <v>43668</v>
      </c>
      <c r="H3">
        <v>2</v>
      </c>
      <c r="I3">
        <v>1963</v>
      </c>
      <c r="J3">
        <v>6</v>
      </c>
      <c r="K3">
        <v>5</v>
      </c>
      <c r="L3">
        <v>6</v>
      </c>
      <c r="M3">
        <v>8</v>
      </c>
      <c r="N3">
        <v>0.59799999999999998</v>
      </c>
      <c r="O3">
        <v>0.5</v>
      </c>
      <c r="P3">
        <v>0.59799999999999998</v>
      </c>
      <c r="Q3">
        <v>0.79400000000000004</v>
      </c>
      <c r="R3">
        <v>-123.12285610000001</v>
      </c>
      <c r="S3">
        <v>44.762069699999998</v>
      </c>
      <c r="T3">
        <v>6.25</v>
      </c>
      <c r="U3">
        <v>0.73058829999999997</v>
      </c>
      <c r="V3">
        <v>2.6387399999999998E-2</v>
      </c>
      <c r="W3">
        <v>490277.3125</v>
      </c>
      <c r="X3">
        <v>4956527</v>
      </c>
      <c r="Y3">
        <v>0</v>
      </c>
      <c r="AA3">
        <v>7</v>
      </c>
      <c r="AB3">
        <v>4.6987399999999999E-2</v>
      </c>
      <c r="AC3">
        <v>0.69599999999999995</v>
      </c>
      <c r="AD3">
        <v>1</v>
      </c>
      <c r="AE3">
        <v>8</v>
      </c>
      <c r="AF3">
        <v>6.8692100000000006E-2</v>
      </c>
      <c r="AG3">
        <v>0.79400000000000004</v>
      </c>
      <c r="AH3">
        <v>0</v>
      </c>
      <c r="AI3">
        <v>31.052177400000001</v>
      </c>
      <c r="AJ3">
        <v>0.187449</v>
      </c>
      <c r="AK3">
        <v>1</v>
      </c>
      <c r="AL3">
        <v>0.78547100000000003</v>
      </c>
      <c r="AM3">
        <v>1</v>
      </c>
      <c r="AN3">
        <v>1</v>
      </c>
      <c r="AO3">
        <v>30</v>
      </c>
      <c r="AP3">
        <v>30</v>
      </c>
      <c r="AQ3">
        <v>1963</v>
      </c>
      <c r="AR3">
        <v>736</v>
      </c>
      <c r="AS3">
        <v>2025</v>
      </c>
      <c r="AT3" s="23">
        <v>45791</v>
      </c>
      <c r="AU3" s="23" t="s">
        <v>29</v>
      </c>
      <c r="AV3">
        <v>0</v>
      </c>
      <c r="AW3">
        <v>490277.30999999901</v>
      </c>
      <c r="AX3">
        <v>4956527</v>
      </c>
      <c r="AY3">
        <v>1256.63706143591</v>
      </c>
      <c r="AZ3">
        <v>125663.706143591</v>
      </c>
      <c r="BA3">
        <v>0.82129600000000003</v>
      </c>
      <c r="BB3">
        <v>0.78799830000000004</v>
      </c>
      <c r="BC3">
        <v>0.80031669999999999</v>
      </c>
      <c r="BD3">
        <v>3.5825000000000003E-2</v>
      </c>
      <c r="BE3">
        <v>2.5273000000000001E-3</v>
      </c>
      <c r="BF3">
        <v>1.48457E-2</v>
      </c>
    </row>
    <row r="4" spans="1:58">
      <c r="A4">
        <v>2460</v>
      </c>
      <c r="B4" t="s">
        <v>87</v>
      </c>
      <c r="C4" t="s">
        <v>88</v>
      </c>
      <c r="G4" s="23">
        <v>43668</v>
      </c>
      <c r="H4">
        <v>2</v>
      </c>
      <c r="I4">
        <v>2580</v>
      </c>
      <c r="J4">
        <v>8</v>
      </c>
      <c r="K4">
        <v>8</v>
      </c>
      <c r="L4">
        <v>5</v>
      </c>
      <c r="M4">
        <v>6</v>
      </c>
      <c r="N4">
        <v>0.79400000000000004</v>
      </c>
      <c r="O4">
        <v>0.79400000000000004</v>
      </c>
      <c r="P4">
        <v>0.5</v>
      </c>
      <c r="Q4">
        <v>0.59799999999999998</v>
      </c>
      <c r="R4">
        <v>-123.1195984</v>
      </c>
      <c r="S4">
        <v>44.722629499999996</v>
      </c>
      <c r="T4">
        <v>6.75</v>
      </c>
      <c r="U4">
        <v>0.78823529999999997</v>
      </c>
      <c r="V4">
        <v>0</v>
      </c>
      <c r="W4">
        <v>490528.5</v>
      </c>
      <c r="X4">
        <v>4952145.5</v>
      </c>
      <c r="Y4">
        <v>0</v>
      </c>
      <c r="AA4">
        <v>5</v>
      </c>
      <c r="AB4">
        <v>6.6660000000000005E-4</v>
      </c>
      <c r="AC4">
        <v>0.5</v>
      </c>
      <c r="AD4">
        <v>0</v>
      </c>
      <c r="AE4">
        <v>8</v>
      </c>
      <c r="AF4">
        <v>0.29740480000000002</v>
      </c>
      <c r="AG4">
        <v>0.79400000000000004</v>
      </c>
      <c r="AH4">
        <v>1</v>
      </c>
      <c r="AI4">
        <v>31.052177400000001</v>
      </c>
      <c r="AJ4">
        <v>3.9788999999999996E-3</v>
      </c>
      <c r="AK4">
        <v>1</v>
      </c>
      <c r="AL4">
        <v>0.27783960000000002</v>
      </c>
      <c r="AM4">
        <v>1</v>
      </c>
      <c r="AN4">
        <v>1</v>
      </c>
      <c r="AO4">
        <v>128</v>
      </c>
      <c r="AP4">
        <v>128</v>
      </c>
      <c r="AQ4">
        <v>2580</v>
      </c>
      <c r="AR4">
        <v>743</v>
      </c>
      <c r="AS4">
        <v>2025</v>
      </c>
      <c r="AT4" s="23">
        <v>45791</v>
      </c>
      <c r="AU4" s="23" t="s">
        <v>29</v>
      </c>
      <c r="AV4">
        <v>0</v>
      </c>
      <c r="AW4">
        <v>490528.5</v>
      </c>
      <c r="AX4">
        <v>4952145.5</v>
      </c>
      <c r="AY4">
        <v>1256.63706143591</v>
      </c>
      <c r="AZ4">
        <v>125663.706143591</v>
      </c>
      <c r="BA4">
        <v>0.298093</v>
      </c>
      <c r="BB4">
        <v>4.9019999999999999E-4</v>
      </c>
      <c r="BC4">
        <v>4.9039999999999999E-4</v>
      </c>
      <c r="BD4">
        <v>2.0253400000000001E-2</v>
      </c>
      <c r="BE4">
        <v>-0.27734940000000002</v>
      </c>
      <c r="BF4">
        <v>-0.27734920000000002</v>
      </c>
    </row>
    <row r="5" spans="1:58">
      <c r="A5">
        <v>2464</v>
      </c>
      <c r="B5" t="s">
        <v>87</v>
      </c>
      <c r="C5" t="s">
        <v>88</v>
      </c>
      <c r="G5" s="23">
        <v>43668</v>
      </c>
      <c r="H5">
        <v>2</v>
      </c>
      <c r="I5">
        <v>2584</v>
      </c>
      <c r="J5">
        <v>7</v>
      </c>
      <c r="K5">
        <v>6</v>
      </c>
      <c r="L5">
        <v>5</v>
      </c>
      <c r="M5">
        <v>8</v>
      </c>
      <c r="N5">
        <v>0.69599999999999995</v>
      </c>
      <c r="O5">
        <v>0.59799999999999998</v>
      </c>
      <c r="P5">
        <v>0.5</v>
      </c>
      <c r="Q5">
        <v>0.79400000000000004</v>
      </c>
      <c r="R5">
        <v>-123.0982056</v>
      </c>
      <c r="S5">
        <v>44.729465500000003</v>
      </c>
      <c r="T5">
        <v>6.5</v>
      </c>
      <c r="U5">
        <v>0.75941179999999997</v>
      </c>
      <c r="V5">
        <v>3.6825499999999997E-2</v>
      </c>
      <c r="W5">
        <v>492223.875</v>
      </c>
      <c r="X5">
        <v>4952903</v>
      </c>
      <c r="Y5">
        <v>0</v>
      </c>
      <c r="AA5">
        <v>8</v>
      </c>
      <c r="AB5">
        <v>9.4576400000000005E-2</v>
      </c>
      <c r="AC5">
        <v>0.79400000000000004</v>
      </c>
      <c r="AD5">
        <v>0</v>
      </c>
      <c r="AE5">
        <v>8</v>
      </c>
      <c r="AF5">
        <v>0.1245397</v>
      </c>
      <c r="AG5">
        <v>0.79400000000000004</v>
      </c>
      <c r="AH5">
        <v>1</v>
      </c>
      <c r="AI5">
        <v>31.052177400000001</v>
      </c>
      <c r="AJ5">
        <v>1E-4</v>
      </c>
      <c r="AK5">
        <v>0</v>
      </c>
      <c r="AL5">
        <v>0.289821</v>
      </c>
      <c r="AM5">
        <v>1</v>
      </c>
      <c r="AN5">
        <v>1</v>
      </c>
      <c r="AO5">
        <v>127</v>
      </c>
      <c r="AP5">
        <v>127</v>
      </c>
      <c r="AQ5">
        <v>2584</v>
      </c>
      <c r="AR5">
        <v>742</v>
      </c>
      <c r="AS5">
        <v>2025</v>
      </c>
      <c r="AT5" s="23">
        <v>45791</v>
      </c>
      <c r="AU5" s="23" t="s">
        <v>29</v>
      </c>
      <c r="AV5">
        <v>0</v>
      </c>
      <c r="AW5">
        <v>492223.86999999901</v>
      </c>
      <c r="AX5">
        <v>4952903</v>
      </c>
      <c r="AY5">
        <v>1256.63706143591</v>
      </c>
      <c r="AZ5">
        <v>125663.706143591</v>
      </c>
      <c r="BA5">
        <v>6.4166699999999993E-2</v>
      </c>
      <c r="BB5">
        <v>6.2640000000000005E-4</v>
      </c>
      <c r="BC5">
        <v>7.9580000000000004E-4</v>
      </c>
      <c r="BD5">
        <v>-0.2256543</v>
      </c>
      <c r="BE5">
        <v>-0.28919460000000002</v>
      </c>
      <c r="BF5">
        <v>-0.28902519999999998</v>
      </c>
    </row>
    <row r="6" spans="1:58">
      <c r="A6">
        <v>2921</v>
      </c>
      <c r="B6" t="s">
        <v>89</v>
      </c>
      <c r="C6" t="s">
        <v>86</v>
      </c>
      <c r="D6" t="s">
        <v>11</v>
      </c>
      <c r="G6" s="23">
        <v>43668</v>
      </c>
      <c r="H6">
        <v>2</v>
      </c>
      <c r="I6">
        <v>2950</v>
      </c>
      <c r="J6">
        <v>8</v>
      </c>
      <c r="K6">
        <v>6</v>
      </c>
      <c r="L6">
        <v>6</v>
      </c>
      <c r="M6">
        <v>7</v>
      </c>
      <c r="N6">
        <v>0.79400000000000004</v>
      </c>
      <c r="O6">
        <v>0.59799999999999998</v>
      </c>
      <c r="P6">
        <v>0.59799999999999998</v>
      </c>
      <c r="Q6">
        <v>0.69599999999999995</v>
      </c>
      <c r="R6">
        <v>-123.12856290000001</v>
      </c>
      <c r="S6">
        <v>44.772472399999998</v>
      </c>
      <c r="T6">
        <v>6.75</v>
      </c>
      <c r="U6">
        <v>0.78823529999999997</v>
      </c>
      <c r="V6">
        <v>0</v>
      </c>
      <c r="W6">
        <v>489827.375</v>
      </c>
      <c r="X6">
        <v>4957683.5</v>
      </c>
      <c r="Y6">
        <v>0</v>
      </c>
      <c r="AA6">
        <v>6</v>
      </c>
      <c r="AB6">
        <v>4.9540000000000001E-3</v>
      </c>
      <c r="AC6">
        <v>0.59799999999999998</v>
      </c>
      <c r="AD6">
        <v>0</v>
      </c>
      <c r="AE6">
        <v>6</v>
      </c>
      <c r="AF6">
        <v>5.9626999999999996E-3</v>
      </c>
      <c r="AG6">
        <v>0.59799999999999998</v>
      </c>
      <c r="AH6">
        <v>0</v>
      </c>
      <c r="AI6">
        <v>31.052177400000001</v>
      </c>
      <c r="AJ6">
        <v>0.20595740000000001</v>
      </c>
      <c r="AK6">
        <v>1</v>
      </c>
      <c r="AL6">
        <v>0.36297370000000001</v>
      </c>
      <c r="AM6">
        <v>1</v>
      </c>
      <c r="AN6">
        <v>1</v>
      </c>
      <c r="AO6">
        <v>29</v>
      </c>
      <c r="AP6">
        <v>29</v>
      </c>
      <c r="AQ6">
        <v>2950</v>
      </c>
      <c r="AR6">
        <v>735</v>
      </c>
      <c r="AS6">
        <v>2025</v>
      </c>
      <c r="AT6" s="23">
        <v>45791</v>
      </c>
      <c r="AU6" s="23" t="s">
        <v>29</v>
      </c>
      <c r="AV6">
        <v>0</v>
      </c>
      <c r="AW6">
        <v>489827.36999999901</v>
      </c>
      <c r="AX6">
        <v>4957683.5</v>
      </c>
      <c r="AY6">
        <v>1256.63706143591</v>
      </c>
      <c r="AZ6">
        <v>125663.706143591</v>
      </c>
      <c r="BA6">
        <v>0.23259779999999999</v>
      </c>
      <c r="BB6">
        <v>0.20873720000000001</v>
      </c>
      <c r="BC6">
        <v>0.239146</v>
      </c>
      <c r="BD6">
        <v>-0.13037589999999999</v>
      </c>
      <c r="BE6">
        <v>-0.1542365</v>
      </c>
      <c r="BF6">
        <v>-0.1238278</v>
      </c>
    </row>
    <row r="7" spans="1:58">
      <c r="A7">
        <v>3275</v>
      </c>
      <c r="B7" t="s">
        <v>90</v>
      </c>
      <c r="C7" t="s">
        <v>86</v>
      </c>
      <c r="G7" s="23">
        <v>43668</v>
      </c>
      <c r="H7">
        <v>2</v>
      </c>
      <c r="I7">
        <v>3213</v>
      </c>
      <c r="J7">
        <v>5</v>
      </c>
      <c r="K7">
        <v>6</v>
      </c>
      <c r="L7">
        <v>5</v>
      </c>
      <c r="M7">
        <v>8</v>
      </c>
      <c r="N7">
        <v>0.5</v>
      </c>
      <c r="O7">
        <v>0.59799999999999998</v>
      </c>
      <c r="P7">
        <v>0.5</v>
      </c>
      <c r="Q7">
        <v>0.79400000000000004</v>
      </c>
      <c r="R7">
        <v>-123.0870285</v>
      </c>
      <c r="S7">
        <v>44.682838400000001</v>
      </c>
      <c r="T7">
        <v>6</v>
      </c>
      <c r="U7">
        <v>0.70176470000000002</v>
      </c>
      <c r="V7">
        <v>1.8030999999999998E-2</v>
      </c>
      <c r="W7">
        <v>493102.8125</v>
      </c>
      <c r="X7">
        <v>4947722.5</v>
      </c>
      <c r="Y7">
        <v>0</v>
      </c>
      <c r="AA7">
        <v>7</v>
      </c>
      <c r="AB7">
        <v>3.6898E-3</v>
      </c>
      <c r="AC7">
        <v>0.69599999999999995</v>
      </c>
      <c r="AD7">
        <v>0</v>
      </c>
      <c r="AE7">
        <v>8</v>
      </c>
      <c r="AF7">
        <v>0.45828360000000001</v>
      </c>
      <c r="AG7">
        <v>0.79400000000000004</v>
      </c>
      <c r="AH7">
        <v>0</v>
      </c>
      <c r="AI7">
        <v>31.052177400000001</v>
      </c>
      <c r="AJ7">
        <v>0.33597729999999998</v>
      </c>
      <c r="AK7">
        <v>1</v>
      </c>
      <c r="AL7">
        <v>0.2689259</v>
      </c>
      <c r="AM7">
        <v>1</v>
      </c>
      <c r="AN7">
        <v>1</v>
      </c>
      <c r="AO7">
        <v>129</v>
      </c>
      <c r="AP7">
        <v>129</v>
      </c>
      <c r="AQ7">
        <v>3213</v>
      </c>
      <c r="AR7">
        <v>744</v>
      </c>
      <c r="AS7">
        <v>2025</v>
      </c>
      <c r="AT7" s="23">
        <v>45791</v>
      </c>
      <c r="AU7" s="23" t="s">
        <v>29</v>
      </c>
      <c r="AV7">
        <v>0</v>
      </c>
      <c r="AW7">
        <v>493102.80999999901</v>
      </c>
      <c r="AX7">
        <v>4947722.5</v>
      </c>
      <c r="AY7">
        <v>1256.63706143591</v>
      </c>
      <c r="AZ7">
        <v>125663.706143591</v>
      </c>
      <c r="BA7">
        <v>0.26873419999999998</v>
      </c>
      <c r="BB7">
        <v>0.27270810000000001</v>
      </c>
      <c r="BC7">
        <v>0.2671424</v>
      </c>
      <c r="BD7">
        <v>-1.918E-4</v>
      </c>
      <c r="BE7">
        <v>3.7821999999999999E-3</v>
      </c>
      <c r="BF7">
        <v>-1.7834999999999999E-3</v>
      </c>
    </row>
    <row r="8" spans="1:58">
      <c r="A8">
        <v>3301</v>
      </c>
      <c r="B8" t="s">
        <v>91</v>
      </c>
      <c r="C8" t="s">
        <v>88</v>
      </c>
      <c r="G8" s="23">
        <v>43668</v>
      </c>
      <c r="H8">
        <v>2</v>
      </c>
      <c r="I8">
        <v>3232</v>
      </c>
      <c r="J8">
        <v>7</v>
      </c>
      <c r="K8">
        <v>6</v>
      </c>
      <c r="L8">
        <v>6</v>
      </c>
      <c r="M8">
        <v>6</v>
      </c>
      <c r="N8">
        <v>0.69599999999999995</v>
      </c>
      <c r="O8">
        <v>0.59799999999999998</v>
      </c>
      <c r="P8">
        <v>0.59799999999999998</v>
      </c>
      <c r="Q8">
        <v>0.59799999999999998</v>
      </c>
      <c r="R8">
        <v>-123.1111832</v>
      </c>
      <c r="S8">
        <v>44.7167587</v>
      </c>
      <c r="T8">
        <v>6.25</v>
      </c>
      <c r="U8">
        <v>0.73058829999999997</v>
      </c>
      <c r="V8">
        <v>0</v>
      </c>
      <c r="W8">
        <v>491194.15625</v>
      </c>
      <c r="X8">
        <v>4951493</v>
      </c>
      <c r="Y8">
        <v>0</v>
      </c>
      <c r="AA8">
        <v>5</v>
      </c>
      <c r="AB8">
        <v>0</v>
      </c>
      <c r="AC8">
        <v>0.5</v>
      </c>
      <c r="AD8">
        <v>0</v>
      </c>
      <c r="AE8">
        <v>7</v>
      </c>
      <c r="AF8">
        <v>4.47626E-2</v>
      </c>
      <c r="AG8">
        <v>0.69599999999999995</v>
      </c>
      <c r="AH8">
        <v>0</v>
      </c>
      <c r="AI8">
        <v>31.052177400000001</v>
      </c>
      <c r="AJ8">
        <v>0.18748719999999999</v>
      </c>
      <c r="AK8">
        <v>1</v>
      </c>
      <c r="AL8">
        <v>0.28316469999999999</v>
      </c>
      <c r="AM8">
        <v>1</v>
      </c>
      <c r="AN8">
        <v>1</v>
      </c>
      <c r="AO8">
        <v>126</v>
      </c>
      <c r="AP8">
        <v>126</v>
      </c>
      <c r="AQ8">
        <v>3232</v>
      </c>
      <c r="AR8">
        <v>741</v>
      </c>
      <c r="AS8">
        <v>2025</v>
      </c>
      <c r="AT8" s="23">
        <v>45791</v>
      </c>
      <c r="AU8" s="23" t="s">
        <v>29</v>
      </c>
      <c r="AV8">
        <v>0</v>
      </c>
      <c r="AW8">
        <v>491194.15</v>
      </c>
      <c r="AX8">
        <v>4951493</v>
      </c>
      <c r="AY8">
        <v>1256.63706143591</v>
      </c>
      <c r="AZ8">
        <v>125663.706143591</v>
      </c>
      <c r="BA8">
        <v>0.3215346</v>
      </c>
      <c r="BB8">
        <v>0.3286965</v>
      </c>
      <c r="BC8">
        <v>0.41956900000000003</v>
      </c>
      <c r="BD8">
        <v>3.8369899999999998E-2</v>
      </c>
      <c r="BE8">
        <v>4.55319E-2</v>
      </c>
      <c r="BF8">
        <v>0.13640440000000001</v>
      </c>
    </row>
    <row r="9" spans="1:58">
      <c r="A9">
        <v>3711</v>
      </c>
      <c r="B9" t="s">
        <v>92</v>
      </c>
      <c r="C9" t="s">
        <v>86</v>
      </c>
      <c r="D9" t="s">
        <v>93</v>
      </c>
      <c r="G9" s="23">
        <v>43668</v>
      </c>
      <c r="H9">
        <v>2</v>
      </c>
      <c r="I9">
        <v>3548</v>
      </c>
      <c r="J9">
        <v>7</v>
      </c>
      <c r="K9">
        <v>8</v>
      </c>
      <c r="L9">
        <v>7</v>
      </c>
      <c r="M9">
        <v>8</v>
      </c>
      <c r="N9">
        <v>0.69599999999999995</v>
      </c>
      <c r="O9">
        <v>0.79400000000000004</v>
      </c>
      <c r="P9">
        <v>0.69599999999999995</v>
      </c>
      <c r="Q9">
        <v>0.79400000000000004</v>
      </c>
      <c r="R9">
        <v>-123.00410460000001</v>
      </c>
      <c r="S9">
        <v>44.766479500000003</v>
      </c>
      <c r="T9">
        <v>7.5</v>
      </c>
      <c r="U9">
        <v>0.87470590000000004</v>
      </c>
      <c r="V9">
        <v>1.08386E-2</v>
      </c>
      <c r="W9">
        <v>499675.0625</v>
      </c>
      <c r="X9">
        <v>4957010</v>
      </c>
      <c r="Y9">
        <v>0</v>
      </c>
      <c r="AA9">
        <v>4</v>
      </c>
      <c r="AB9">
        <v>0</v>
      </c>
      <c r="AC9">
        <v>0.40200000000000002</v>
      </c>
      <c r="AD9">
        <v>0</v>
      </c>
      <c r="AE9">
        <v>4</v>
      </c>
      <c r="AF9">
        <v>0</v>
      </c>
      <c r="AG9">
        <v>0.40200000000000002</v>
      </c>
      <c r="AH9">
        <v>0</v>
      </c>
      <c r="AI9">
        <v>31.052177400000001</v>
      </c>
      <c r="AJ9">
        <v>0.1390083</v>
      </c>
      <c r="AK9">
        <v>1</v>
      </c>
      <c r="AL9">
        <v>0.3214745</v>
      </c>
      <c r="AM9">
        <v>1</v>
      </c>
      <c r="AN9">
        <v>1</v>
      </c>
      <c r="AO9">
        <v>32</v>
      </c>
      <c r="AP9">
        <v>32</v>
      </c>
      <c r="AQ9">
        <v>3548</v>
      </c>
      <c r="AR9">
        <v>738</v>
      </c>
      <c r="AS9">
        <v>2025</v>
      </c>
      <c r="AT9" s="23">
        <v>45791</v>
      </c>
      <c r="AU9" s="23" t="s">
        <v>29</v>
      </c>
      <c r="AV9">
        <v>0</v>
      </c>
      <c r="AW9">
        <v>499675.05999999901</v>
      </c>
      <c r="AX9">
        <v>4957010</v>
      </c>
      <c r="AY9">
        <v>1256.63706143591</v>
      </c>
      <c r="AZ9">
        <v>125663.706143591</v>
      </c>
      <c r="BA9">
        <v>7.9580000000000004E-4</v>
      </c>
      <c r="BB9">
        <v>4.2519599999999998E-2</v>
      </c>
      <c r="BC9">
        <v>4.9479999999999999E-4</v>
      </c>
      <c r="BD9">
        <v>-0.32067869999999998</v>
      </c>
      <c r="BE9">
        <v>-0.27895490000000001</v>
      </c>
      <c r="BF9">
        <v>-0.32097969999999998</v>
      </c>
    </row>
    <row r="10" spans="1:58">
      <c r="A10">
        <v>4347</v>
      </c>
      <c r="B10" t="s">
        <v>94</v>
      </c>
      <c r="C10" t="s">
        <v>86</v>
      </c>
      <c r="D10" t="s">
        <v>93</v>
      </c>
      <c r="G10" s="23">
        <v>43668</v>
      </c>
      <c r="H10">
        <v>2</v>
      </c>
      <c r="I10">
        <v>4030</v>
      </c>
      <c r="J10">
        <v>6</v>
      </c>
      <c r="K10">
        <v>5</v>
      </c>
      <c r="L10">
        <v>6</v>
      </c>
      <c r="M10">
        <v>6</v>
      </c>
      <c r="N10">
        <v>0.59799999999999998</v>
      </c>
      <c r="O10">
        <v>0.5</v>
      </c>
      <c r="P10">
        <v>0.59799999999999998</v>
      </c>
      <c r="Q10">
        <v>0.59799999999999998</v>
      </c>
      <c r="R10">
        <v>-122.9844513</v>
      </c>
      <c r="S10">
        <v>44.7408638</v>
      </c>
      <c r="T10">
        <v>5.75</v>
      </c>
      <c r="U10">
        <v>0.67294109999999996</v>
      </c>
      <c r="V10">
        <v>0</v>
      </c>
      <c r="W10">
        <v>501230.78125</v>
      </c>
      <c r="X10">
        <v>4954164.5</v>
      </c>
      <c r="Y10">
        <v>0</v>
      </c>
      <c r="AA10">
        <v>5</v>
      </c>
      <c r="AB10">
        <v>5.4850000000000005E-4</v>
      </c>
      <c r="AC10">
        <v>0.5</v>
      </c>
      <c r="AD10">
        <v>1</v>
      </c>
      <c r="AE10">
        <v>7</v>
      </c>
      <c r="AF10">
        <v>6.4529000000000003E-2</v>
      </c>
      <c r="AG10">
        <v>0.69599999999999995</v>
      </c>
      <c r="AH10">
        <v>0</v>
      </c>
      <c r="AI10">
        <v>31.052177400000001</v>
      </c>
      <c r="AJ10">
        <v>3.1830999999999999E-3</v>
      </c>
      <c r="AK10">
        <v>1</v>
      </c>
      <c r="AL10">
        <v>0.15051870000000001</v>
      </c>
      <c r="AM10">
        <v>1</v>
      </c>
      <c r="AN10">
        <v>1</v>
      </c>
      <c r="AO10">
        <v>34</v>
      </c>
      <c r="AP10">
        <v>34</v>
      </c>
      <c r="AQ10">
        <v>4030</v>
      </c>
      <c r="AR10">
        <v>740</v>
      </c>
      <c r="AS10">
        <v>2025</v>
      </c>
      <c r="AT10" s="23">
        <v>45791</v>
      </c>
      <c r="AU10" s="23" t="s">
        <v>29</v>
      </c>
      <c r="AV10">
        <v>0</v>
      </c>
      <c r="AW10">
        <v>501230.78</v>
      </c>
      <c r="AX10">
        <v>4954164.5</v>
      </c>
      <c r="AY10">
        <v>1256.63706143591</v>
      </c>
      <c r="AZ10">
        <v>125663.706143591</v>
      </c>
      <c r="BA10">
        <v>4.9899999999999999E-4</v>
      </c>
      <c r="BB10">
        <v>4.9899999999999999E-4</v>
      </c>
      <c r="BC10">
        <v>4.9870000000000003E-4</v>
      </c>
      <c r="BD10">
        <v>-0.15001970000000001</v>
      </c>
      <c r="BE10">
        <v>-0.15001970000000001</v>
      </c>
      <c r="BF10">
        <v>-0.15001999999999999</v>
      </c>
    </row>
    <row r="11" spans="1:58">
      <c r="A11">
        <v>5488</v>
      </c>
      <c r="B11" t="s">
        <v>95</v>
      </c>
      <c r="C11" t="s">
        <v>86</v>
      </c>
      <c r="D11" t="s">
        <v>11</v>
      </c>
      <c r="G11" s="23">
        <v>43668</v>
      </c>
      <c r="H11">
        <v>2</v>
      </c>
      <c r="I11">
        <v>4887</v>
      </c>
      <c r="J11">
        <v>8</v>
      </c>
      <c r="K11">
        <v>6</v>
      </c>
      <c r="L11">
        <v>8</v>
      </c>
      <c r="M11">
        <v>7</v>
      </c>
      <c r="N11">
        <v>0.79400000000000004</v>
      </c>
      <c r="O11">
        <v>0.59799999999999998</v>
      </c>
      <c r="P11">
        <v>0.79400000000000004</v>
      </c>
      <c r="Q11">
        <v>0.69599999999999995</v>
      </c>
      <c r="R11">
        <v>-123.0958557</v>
      </c>
      <c r="S11">
        <v>44.777664199999997</v>
      </c>
      <c r="T11">
        <v>7.25</v>
      </c>
      <c r="U11">
        <v>0.84588240000000003</v>
      </c>
      <c r="V11">
        <v>4.5389000000000002E-3</v>
      </c>
      <c r="W11">
        <v>492415.90625</v>
      </c>
      <c r="X11">
        <v>4958257</v>
      </c>
      <c r="Y11">
        <v>0</v>
      </c>
      <c r="AA11">
        <v>5</v>
      </c>
      <c r="AB11">
        <v>5.5049999999999999E-4</v>
      </c>
      <c r="AC11">
        <v>0.5</v>
      </c>
      <c r="AD11">
        <v>0</v>
      </c>
      <c r="AE11">
        <v>6</v>
      </c>
      <c r="AF11">
        <v>1.7068900000000001E-2</v>
      </c>
      <c r="AG11">
        <v>0.59799999999999998</v>
      </c>
      <c r="AH11">
        <v>0</v>
      </c>
      <c r="AI11">
        <v>31.052177400000001</v>
      </c>
      <c r="AJ11">
        <v>5.6579000000000004E-3</v>
      </c>
      <c r="AK11">
        <v>1</v>
      </c>
      <c r="AL11">
        <v>0.33278780000000002</v>
      </c>
      <c r="AM11">
        <v>1</v>
      </c>
      <c r="AN11">
        <v>1</v>
      </c>
      <c r="AO11">
        <v>31</v>
      </c>
      <c r="AP11">
        <v>31</v>
      </c>
      <c r="AQ11">
        <v>4887</v>
      </c>
      <c r="AR11">
        <v>737</v>
      </c>
      <c r="AS11">
        <v>2025</v>
      </c>
      <c r="AT11" s="23">
        <v>45791</v>
      </c>
      <c r="AU11" s="23" t="s">
        <v>29</v>
      </c>
      <c r="AV11">
        <v>0</v>
      </c>
      <c r="AW11">
        <v>492415.9</v>
      </c>
      <c r="AX11">
        <v>4958257</v>
      </c>
      <c r="AY11">
        <v>1256.63706143591</v>
      </c>
      <c r="AZ11">
        <v>125663.706143591</v>
      </c>
      <c r="BA11">
        <v>7.9580000000000004E-4</v>
      </c>
      <c r="BB11">
        <v>1.7739700000000001E-2</v>
      </c>
      <c r="BC11">
        <v>8.9348800000000006E-2</v>
      </c>
      <c r="BD11">
        <v>-0.33199200000000001</v>
      </c>
      <c r="BE11">
        <v>-0.3150481</v>
      </c>
      <c r="BF11">
        <v>-0.24343899999999999</v>
      </c>
    </row>
    <row r="12" spans="1:58">
      <c r="A12">
        <v>2719</v>
      </c>
      <c r="B12" t="s">
        <v>96</v>
      </c>
      <c r="C12" t="s">
        <v>86</v>
      </c>
      <c r="G12" s="23">
        <v>43668</v>
      </c>
      <c r="H12">
        <v>3</v>
      </c>
      <c r="I12">
        <v>2795</v>
      </c>
      <c r="J12">
        <v>5</v>
      </c>
      <c r="K12">
        <v>6</v>
      </c>
      <c r="L12">
        <v>4</v>
      </c>
      <c r="M12">
        <v>8</v>
      </c>
      <c r="N12">
        <v>0.5</v>
      </c>
      <c r="O12">
        <v>0.59799999999999998</v>
      </c>
      <c r="P12">
        <v>0.40200000000000002</v>
      </c>
      <c r="Q12">
        <v>0.79400000000000004</v>
      </c>
      <c r="R12">
        <v>-123.243309</v>
      </c>
      <c r="S12">
        <v>44.897575400000001</v>
      </c>
      <c r="T12">
        <v>5.75</v>
      </c>
      <c r="U12">
        <v>0.67294109999999996</v>
      </c>
      <c r="V12">
        <v>6.3894800000000002E-2</v>
      </c>
      <c r="W12">
        <v>480789.15625</v>
      </c>
      <c r="X12">
        <v>4971601</v>
      </c>
      <c r="Y12">
        <v>0</v>
      </c>
      <c r="AA12">
        <v>6</v>
      </c>
      <c r="AB12">
        <v>1.3135300000000001E-2</v>
      </c>
      <c r="AC12">
        <v>0.59799999999999998</v>
      </c>
      <c r="AD12">
        <v>1</v>
      </c>
      <c r="AE12">
        <v>5</v>
      </c>
      <c r="AF12">
        <v>0</v>
      </c>
      <c r="AG12">
        <v>0.5</v>
      </c>
      <c r="AH12">
        <v>0</v>
      </c>
      <c r="AI12">
        <v>31.052177400000001</v>
      </c>
      <c r="AJ12">
        <v>1E-4</v>
      </c>
      <c r="AK12">
        <v>0</v>
      </c>
      <c r="AL12">
        <v>0.40265519999999999</v>
      </c>
      <c r="AM12">
        <v>1</v>
      </c>
      <c r="AN12">
        <v>1</v>
      </c>
      <c r="AO12">
        <v>27</v>
      </c>
      <c r="AP12">
        <v>27</v>
      </c>
      <c r="AQ12">
        <v>2795</v>
      </c>
      <c r="AR12">
        <v>732</v>
      </c>
      <c r="AS12">
        <v>2025</v>
      </c>
      <c r="AT12" s="23">
        <v>45792</v>
      </c>
      <c r="AU12" s="23" t="s">
        <v>29</v>
      </c>
      <c r="AV12">
        <v>0</v>
      </c>
      <c r="AW12">
        <v>480789.15</v>
      </c>
      <c r="AX12">
        <v>4971601</v>
      </c>
      <c r="AY12">
        <v>1256.63706143591</v>
      </c>
      <c r="AZ12">
        <v>125663.706143591</v>
      </c>
      <c r="BA12">
        <v>3.1830999999999999E-3</v>
      </c>
      <c r="BB12">
        <v>0.38618180000000002</v>
      </c>
      <c r="BC12">
        <v>0.38749470000000003</v>
      </c>
      <c r="BD12">
        <v>-0.3994721</v>
      </c>
      <c r="BE12">
        <v>-1.6473399999999999E-2</v>
      </c>
      <c r="BF12">
        <v>-1.51605E-2</v>
      </c>
    </row>
    <row r="13" spans="1:58">
      <c r="A13">
        <v>3582</v>
      </c>
      <c r="B13" t="s">
        <v>97</v>
      </c>
      <c r="C13" t="s">
        <v>98</v>
      </c>
      <c r="D13" t="s">
        <v>99</v>
      </c>
      <c r="G13" s="23">
        <v>43668</v>
      </c>
      <c r="H13">
        <v>3</v>
      </c>
      <c r="I13">
        <v>3467</v>
      </c>
      <c r="J13">
        <v>5</v>
      </c>
      <c r="K13">
        <v>7</v>
      </c>
      <c r="L13">
        <v>5</v>
      </c>
      <c r="M13">
        <v>8</v>
      </c>
      <c r="N13">
        <v>0.5</v>
      </c>
      <c r="O13">
        <v>0.69599999999999995</v>
      </c>
      <c r="P13">
        <v>0.5</v>
      </c>
      <c r="Q13">
        <v>0.79400000000000004</v>
      </c>
      <c r="R13">
        <v>-123.2285461</v>
      </c>
      <c r="S13">
        <v>44.904628799999998</v>
      </c>
      <c r="T13">
        <v>6.25</v>
      </c>
      <c r="U13">
        <v>0.73058829999999997</v>
      </c>
      <c r="V13">
        <v>5.7030200000000003E-2</v>
      </c>
      <c r="W13">
        <v>481957.375</v>
      </c>
      <c r="X13">
        <v>4972381.5</v>
      </c>
      <c r="Y13">
        <v>0</v>
      </c>
      <c r="AA13">
        <v>3</v>
      </c>
      <c r="AB13">
        <v>0</v>
      </c>
      <c r="AC13">
        <v>0.30399999999999999</v>
      </c>
      <c r="AD13">
        <v>0</v>
      </c>
      <c r="AE13">
        <v>6</v>
      </c>
      <c r="AF13">
        <v>1.04703E-2</v>
      </c>
      <c r="AG13">
        <v>0.59799999999999998</v>
      </c>
      <c r="AH13">
        <v>0</v>
      </c>
      <c r="AI13">
        <v>31.052177400000001</v>
      </c>
      <c r="AJ13">
        <v>3.5173099999999999E-2</v>
      </c>
      <c r="AK13">
        <v>0</v>
      </c>
      <c r="AL13">
        <v>0.39531230000000001</v>
      </c>
      <c r="AM13">
        <v>1</v>
      </c>
      <c r="AN13">
        <v>1</v>
      </c>
      <c r="AO13">
        <v>24</v>
      </c>
      <c r="AP13">
        <v>24</v>
      </c>
      <c r="AQ13">
        <v>3467</v>
      </c>
      <c r="AR13">
        <v>729</v>
      </c>
      <c r="AS13">
        <v>2025</v>
      </c>
      <c r="AT13" s="23">
        <v>45792</v>
      </c>
      <c r="AU13" s="23" t="s">
        <v>29</v>
      </c>
      <c r="AV13">
        <v>1</v>
      </c>
      <c r="AW13">
        <v>481957.36999999901</v>
      </c>
      <c r="AX13">
        <v>4972381.5</v>
      </c>
      <c r="AY13">
        <v>1256.63706143591</v>
      </c>
      <c r="AZ13">
        <v>125663.706143591</v>
      </c>
      <c r="BA13">
        <v>0.54591500000000004</v>
      </c>
      <c r="BB13">
        <v>0.48115079999999999</v>
      </c>
      <c r="BC13">
        <v>0.4780066</v>
      </c>
      <c r="BD13">
        <v>0.15060270000000001</v>
      </c>
      <c r="BE13">
        <v>8.5838499999999998E-2</v>
      </c>
      <c r="BF13">
        <v>8.2694199999999995E-2</v>
      </c>
    </row>
    <row r="14" spans="1:58">
      <c r="A14">
        <v>3583</v>
      </c>
      <c r="B14" t="s">
        <v>97</v>
      </c>
      <c r="C14" t="s">
        <v>98</v>
      </c>
      <c r="D14" t="s">
        <v>99</v>
      </c>
      <c r="G14" s="23">
        <v>43668</v>
      </c>
      <c r="H14">
        <v>3</v>
      </c>
      <c r="I14">
        <v>3468</v>
      </c>
      <c r="J14">
        <v>6</v>
      </c>
      <c r="K14">
        <v>6</v>
      </c>
      <c r="L14">
        <v>6</v>
      </c>
      <c r="M14">
        <v>8</v>
      </c>
      <c r="N14">
        <v>0.59799999999999998</v>
      </c>
      <c r="O14">
        <v>0.59799999999999998</v>
      </c>
      <c r="P14">
        <v>0.59799999999999998</v>
      </c>
      <c r="Q14">
        <v>0.79400000000000004</v>
      </c>
      <c r="R14">
        <v>-123.2285614</v>
      </c>
      <c r="S14">
        <v>44.898777000000003</v>
      </c>
      <c r="T14">
        <v>6.5</v>
      </c>
      <c r="U14">
        <v>0.75941179999999997</v>
      </c>
      <c r="V14">
        <v>0.18056949999999999</v>
      </c>
      <c r="W14">
        <v>481954.03125</v>
      </c>
      <c r="X14">
        <v>4971731.5</v>
      </c>
      <c r="Y14">
        <v>0</v>
      </c>
      <c r="AA14">
        <v>6</v>
      </c>
      <c r="AB14">
        <v>2.5056000000000002E-3</v>
      </c>
      <c r="AC14">
        <v>0.59799999999999998</v>
      </c>
      <c r="AD14">
        <v>0</v>
      </c>
      <c r="AE14">
        <v>6</v>
      </c>
      <c r="AF14">
        <v>1.4464599999999999E-2</v>
      </c>
      <c r="AG14">
        <v>0.59799999999999998</v>
      </c>
      <c r="AH14">
        <v>0</v>
      </c>
      <c r="AI14">
        <v>31.052177400000001</v>
      </c>
      <c r="AJ14">
        <v>1E-4</v>
      </c>
      <c r="AK14">
        <v>0</v>
      </c>
      <c r="AL14">
        <v>0.63023019999999996</v>
      </c>
      <c r="AM14">
        <v>1</v>
      </c>
      <c r="AN14">
        <v>1</v>
      </c>
      <c r="AO14">
        <v>23</v>
      </c>
      <c r="AP14">
        <v>23</v>
      </c>
      <c r="AQ14">
        <v>3468</v>
      </c>
      <c r="AR14">
        <v>728</v>
      </c>
      <c r="AS14">
        <v>2025</v>
      </c>
      <c r="AT14" s="23">
        <v>45792</v>
      </c>
      <c r="AU14" s="23" t="s">
        <v>29</v>
      </c>
      <c r="AV14">
        <v>0</v>
      </c>
      <c r="AW14">
        <v>481954.03</v>
      </c>
      <c r="AX14">
        <v>4971731.5</v>
      </c>
      <c r="AY14">
        <v>1256.63706143591</v>
      </c>
      <c r="AZ14">
        <v>125663.706143591</v>
      </c>
      <c r="BA14">
        <v>7.9580000000000004E-4</v>
      </c>
      <c r="BB14">
        <v>5.8279999999999996E-4</v>
      </c>
      <c r="BC14">
        <v>8.7118999999999999E-3</v>
      </c>
      <c r="BD14">
        <v>-0.62943439999999995</v>
      </c>
      <c r="BE14">
        <v>-0.62964739999999997</v>
      </c>
      <c r="BF14">
        <v>-0.62151829999999997</v>
      </c>
    </row>
    <row r="15" spans="1:58">
      <c r="A15">
        <v>3740</v>
      </c>
      <c r="B15" t="s">
        <v>97</v>
      </c>
      <c r="C15" t="s">
        <v>98</v>
      </c>
      <c r="D15" t="s">
        <v>99</v>
      </c>
      <c r="G15" s="23">
        <v>43668</v>
      </c>
      <c r="H15">
        <v>3</v>
      </c>
      <c r="I15">
        <v>3573</v>
      </c>
      <c r="J15">
        <v>7</v>
      </c>
      <c r="K15">
        <v>7</v>
      </c>
      <c r="L15">
        <v>5</v>
      </c>
      <c r="M15">
        <v>8</v>
      </c>
      <c r="N15">
        <v>0.69599999999999995</v>
      </c>
      <c r="O15">
        <v>0.69599999999999995</v>
      </c>
      <c r="P15">
        <v>0.5</v>
      </c>
      <c r="Q15">
        <v>0.79400000000000004</v>
      </c>
      <c r="R15">
        <v>-123.22850800000001</v>
      </c>
      <c r="S15">
        <v>44.913585699999999</v>
      </c>
      <c r="T15">
        <v>6.75</v>
      </c>
      <c r="U15">
        <v>0.78823529999999997</v>
      </c>
      <c r="V15">
        <v>3.9002599999999998E-2</v>
      </c>
      <c r="W15">
        <v>481963.25</v>
      </c>
      <c r="X15">
        <v>4973376</v>
      </c>
      <c r="Y15">
        <v>0</v>
      </c>
      <c r="AA15">
        <v>4</v>
      </c>
      <c r="AB15">
        <v>0</v>
      </c>
      <c r="AC15">
        <v>0.40200000000000002</v>
      </c>
      <c r="AD15">
        <v>1</v>
      </c>
      <c r="AE15">
        <v>6</v>
      </c>
      <c r="AF15">
        <v>4.3252999999999998E-3</v>
      </c>
      <c r="AG15">
        <v>0.59799999999999998</v>
      </c>
      <c r="AH15">
        <v>0</v>
      </c>
      <c r="AI15">
        <v>31.052177400000001</v>
      </c>
      <c r="AJ15">
        <v>2.522E-4</v>
      </c>
      <c r="AK15">
        <v>0</v>
      </c>
      <c r="AL15">
        <v>0.3392406</v>
      </c>
      <c r="AM15">
        <v>1</v>
      </c>
      <c r="AN15">
        <v>1</v>
      </c>
      <c r="AO15">
        <v>25</v>
      </c>
      <c r="AP15">
        <v>25</v>
      </c>
      <c r="AQ15">
        <v>3573</v>
      </c>
      <c r="AR15">
        <v>730</v>
      </c>
      <c r="AS15">
        <v>2025</v>
      </c>
      <c r="AT15" s="23">
        <v>45792</v>
      </c>
      <c r="AU15" s="23" t="s">
        <v>29</v>
      </c>
      <c r="AV15">
        <v>0</v>
      </c>
      <c r="AW15">
        <v>481963.25</v>
      </c>
      <c r="AX15">
        <v>4973376</v>
      </c>
      <c r="AY15">
        <v>1256.63706143591</v>
      </c>
      <c r="AZ15">
        <v>125663.706143591</v>
      </c>
      <c r="BA15">
        <v>2.3873000000000002E-3</v>
      </c>
      <c r="BB15">
        <v>4.4196800000000001E-2</v>
      </c>
      <c r="BC15">
        <v>2.3873000000000002E-3</v>
      </c>
      <c r="BD15">
        <v>-0.33685330000000002</v>
      </c>
      <c r="BE15">
        <v>-0.29504380000000002</v>
      </c>
      <c r="BF15">
        <v>-0.33685330000000002</v>
      </c>
    </row>
    <row r="16" spans="1:58">
      <c r="A16">
        <v>3882</v>
      </c>
      <c r="B16" t="s">
        <v>100</v>
      </c>
      <c r="C16" t="s">
        <v>86</v>
      </c>
      <c r="G16" s="23">
        <v>43668</v>
      </c>
      <c r="H16">
        <v>3</v>
      </c>
      <c r="I16">
        <v>3699</v>
      </c>
      <c r="J16">
        <v>6</v>
      </c>
      <c r="K16">
        <v>6</v>
      </c>
      <c r="L16">
        <v>6</v>
      </c>
      <c r="M16">
        <v>8</v>
      </c>
      <c r="N16">
        <v>0.59799999999999998</v>
      </c>
      <c r="O16">
        <v>0.59799999999999998</v>
      </c>
      <c r="P16">
        <v>0.59799999999999998</v>
      </c>
      <c r="Q16">
        <v>0.79400000000000004</v>
      </c>
      <c r="R16">
        <v>-123.2350845</v>
      </c>
      <c r="S16">
        <v>44.898819000000003</v>
      </c>
      <c r="T16">
        <v>6.5</v>
      </c>
      <c r="U16">
        <v>0.75941179999999997</v>
      </c>
      <c r="V16">
        <v>0.60833199999999998</v>
      </c>
      <c r="W16">
        <v>481439.375</v>
      </c>
      <c r="X16">
        <v>4971737.5</v>
      </c>
      <c r="Y16">
        <v>0</v>
      </c>
      <c r="AA16">
        <v>7</v>
      </c>
      <c r="AB16">
        <v>2.0276499999999999E-2</v>
      </c>
      <c r="AC16">
        <v>0.69599999999999995</v>
      </c>
      <c r="AD16">
        <v>0</v>
      </c>
      <c r="AE16">
        <v>3</v>
      </c>
      <c r="AF16">
        <v>0</v>
      </c>
      <c r="AG16">
        <v>0.30399999999999999</v>
      </c>
      <c r="AH16">
        <v>0</v>
      </c>
      <c r="AI16">
        <v>31.052177400000001</v>
      </c>
      <c r="AJ16">
        <v>1E-4</v>
      </c>
      <c r="AK16">
        <v>0</v>
      </c>
      <c r="AL16">
        <v>0.3107337</v>
      </c>
      <c r="AM16">
        <v>1</v>
      </c>
      <c r="AN16">
        <v>1</v>
      </c>
      <c r="AO16">
        <v>26</v>
      </c>
      <c r="AP16">
        <v>26</v>
      </c>
      <c r="AQ16">
        <v>3699</v>
      </c>
      <c r="AR16">
        <v>731</v>
      </c>
      <c r="AS16">
        <v>2025</v>
      </c>
      <c r="AT16" s="23">
        <v>45792</v>
      </c>
      <c r="AU16" s="23" t="s">
        <v>29</v>
      </c>
      <c r="AV16">
        <v>3</v>
      </c>
      <c r="AW16">
        <v>481439.36999999901</v>
      </c>
      <c r="AX16">
        <v>4971737.5</v>
      </c>
      <c r="AY16">
        <v>1256.63706143591</v>
      </c>
      <c r="AZ16">
        <v>125663.706143591</v>
      </c>
      <c r="BA16">
        <v>0.27120719999999998</v>
      </c>
      <c r="BB16">
        <v>0.2922923</v>
      </c>
      <c r="BC16">
        <v>0.4049277</v>
      </c>
      <c r="BD16">
        <v>-3.9526499999999999E-2</v>
      </c>
      <c r="BE16">
        <v>-1.8441300000000001E-2</v>
      </c>
      <c r="BF16">
        <v>9.4194E-2</v>
      </c>
    </row>
    <row r="17" spans="1:58">
      <c r="A17">
        <v>4594</v>
      </c>
      <c r="B17" t="s">
        <v>101</v>
      </c>
      <c r="C17" t="s">
        <v>86</v>
      </c>
      <c r="G17" s="23">
        <v>43668</v>
      </c>
      <c r="H17">
        <v>3</v>
      </c>
      <c r="I17">
        <v>4199</v>
      </c>
      <c r="J17">
        <v>7</v>
      </c>
      <c r="K17">
        <v>5</v>
      </c>
      <c r="L17">
        <v>4</v>
      </c>
      <c r="M17">
        <v>6</v>
      </c>
      <c r="N17">
        <v>0.69599999999999995</v>
      </c>
      <c r="O17">
        <v>0.5</v>
      </c>
      <c r="P17">
        <v>0.40200000000000002</v>
      </c>
      <c r="Q17">
        <v>0.59799999999999998</v>
      </c>
      <c r="R17">
        <v>-123.17215729999999</v>
      </c>
      <c r="S17">
        <v>44.868015300000003</v>
      </c>
      <c r="T17">
        <v>5.5</v>
      </c>
      <c r="U17">
        <v>0.64411770000000002</v>
      </c>
      <c r="V17">
        <v>0</v>
      </c>
      <c r="W17">
        <v>486400.1875</v>
      </c>
      <c r="X17">
        <v>4968303</v>
      </c>
      <c r="Y17">
        <v>0</v>
      </c>
      <c r="AA17">
        <v>4</v>
      </c>
      <c r="AB17">
        <v>0</v>
      </c>
      <c r="AC17">
        <v>0.40200000000000002</v>
      </c>
      <c r="AD17">
        <v>0</v>
      </c>
      <c r="AE17">
        <v>5</v>
      </c>
      <c r="AF17">
        <v>0</v>
      </c>
      <c r="AG17">
        <v>0.5</v>
      </c>
      <c r="AH17">
        <v>0</v>
      </c>
      <c r="AI17">
        <v>31.052177400000001</v>
      </c>
      <c r="AJ17">
        <v>2.0758999999999999E-3</v>
      </c>
      <c r="AK17">
        <v>0</v>
      </c>
      <c r="AL17">
        <v>0.57401999999999997</v>
      </c>
      <c r="AM17">
        <v>1</v>
      </c>
      <c r="AN17">
        <v>1</v>
      </c>
      <c r="AO17">
        <v>20</v>
      </c>
      <c r="AP17">
        <v>20</v>
      </c>
      <c r="AQ17">
        <v>4199</v>
      </c>
      <c r="AR17">
        <v>725</v>
      </c>
      <c r="AS17">
        <v>2025</v>
      </c>
      <c r="AT17" s="23">
        <v>45792</v>
      </c>
      <c r="AU17" s="23" t="s">
        <v>29</v>
      </c>
      <c r="AV17">
        <v>0</v>
      </c>
      <c r="AW17">
        <v>486400.179999999</v>
      </c>
      <c r="AX17">
        <v>4968303</v>
      </c>
      <c r="AY17">
        <v>1256.63706143591</v>
      </c>
      <c r="AZ17">
        <v>125663.706143591</v>
      </c>
      <c r="BA17">
        <v>7.9580000000000004E-4</v>
      </c>
      <c r="BB17">
        <v>0.54650779999999999</v>
      </c>
      <c r="BC17">
        <v>1.9734000000000002E-3</v>
      </c>
      <c r="BD17">
        <v>-0.57322419999999996</v>
      </c>
      <c r="BE17">
        <v>-2.7512200000000001E-2</v>
      </c>
      <c r="BF17">
        <v>-0.57204659999999996</v>
      </c>
    </row>
    <row r="18" spans="1:58">
      <c r="A18">
        <v>4595</v>
      </c>
      <c r="B18" t="s">
        <v>101</v>
      </c>
      <c r="C18" t="s">
        <v>86</v>
      </c>
      <c r="G18" s="23">
        <v>43668</v>
      </c>
      <c r="H18">
        <v>3</v>
      </c>
      <c r="I18">
        <v>4200</v>
      </c>
      <c r="J18">
        <v>6</v>
      </c>
      <c r="K18">
        <v>6</v>
      </c>
      <c r="L18">
        <v>5</v>
      </c>
      <c r="M18">
        <v>6</v>
      </c>
      <c r="N18">
        <v>0.59799999999999998</v>
      </c>
      <c r="O18">
        <v>0.59799999999999998</v>
      </c>
      <c r="P18">
        <v>0.5</v>
      </c>
      <c r="Q18">
        <v>0.59799999999999998</v>
      </c>
      <c r="R18">
        <v>-123.1803894</v>
      </c>
      <c r="S18">
        <v>44.868095400000001</v>
      </c>
      <c r="T18">
        <v>5.75</v>
      </c>
      <c r="U18">
        <v>0.67294109999999996</v>
      </c>
      <c r="V18">
        <v>0</v>
      </c>
      <c r="W18">
        <v>485750.28125</v>
      </c>
      <c r="X18">
        <v>4968313.5</v>
      </c>
      <c r="Y18">
        <v>0</v>
      </c>
      <c r="AA18">
        <v>5</v>
      </c>
      <c r="AB18">
        <v>0</v>
      </c>
      <c r="AC18">
        <v>0.5</v>
      </c>
      <c r="AD18">
        <v>0</v>
      </c>
      <c r="AE18">
        <v>8</v>
      </c>
      <c r="AF18">
        <v>0.29742420000000003</v>
      </c>
      <c r="AG18">
        <v>0.79400000000000004</v>
      </c>
      <c r="AH18">
        <v>0</v>
      </c>
      <c r="AI18">
        <v>31.052177400000001</v>
      </c>
      <c r="AJ18">
        <v>0.3175634</v>
      </c>
      <c r="AK18">
        <v>1</v>
      </c>
      <c r="AL18">
        <v>0.63303690000000001</v>
      </c>
      <c r="AM18">
        <v>1</v>
      </c>
      <c r="AN18">
        <v>1</v>
      </c>
      <c r="AO18">
        <v>21</v>
      </c>
      <c r="AP18">
        <v>21</v>
      </c>
      <c r="AQ18">
        <v>4200</v>
      </c>
      <c r="AR18">
        <v>726</v>
      </c>
      <c r="AS18">
        <v>2025</v>
      </c>
      <c r="AT18" s="23">
        <v>45792</v>
      </c>
      <c r="AU18" s="23" t="s">
        <v>29</v>
      </c>
      <c r="AV18">
        <v>0</v>
      </c>
      <c r="AW18">
        <v>485750.28</v>
      </c>
      <c r="AX18">
        <v>4968313.5</v>
      </c>
      <c r="AY18">
        <v>1256.63706143591</v>
      </c>
      <c r="AZ18">
        <v>125663.706143591</v>
      </c>
      <c r="BA18">
        <v>0.66298900000000005</v>
      </c>
      <c r="BB18">
        <v>7.9580000000000004E-4</v>
      </c>
      <c r="BC18">
        <v>1.5915E-3</v>
      </c>
      <c r="BD18">
        <v>2.9952099999999999E-2</v>
      </c>
      <c r="BE18">
        <v>-0.6322411</v>
      </c>
      <c r="BF18">
        <v>-0.63144529999999999</v>
      </c>
    </row>
    <row r="19" spans="1:58">
      <c r="A19">
        <v>4698</v>
      </c>
      <c r="B19" t="s">
        <v>97</v>
      </c>
      <c r="C19" t="s">
        <v>98</v>
      </c>
      <c r="D19" t="s">
        <v>99</v>
      </c>
      <c r="G19" s="23">
        <v>43668</v>
      </c>
      <c r="H19">
        <v>3</v>
      </c>
      <c r="I19">
        <v>4272</v>
      </c>
      <c r="J19">
        <v>6</v>
      </c>
      <c r="K19">
        <v>7</v>
      </c>
      <c r="L19">
        <v>8</v>
      </c>
      <c r="M19">
        <v>8</v>
      </c>
      <c r="N19">
        <v>0.59799999999999998</v>
      </c>
      <c r="O19">
        <v>0.69599999999999995</v>
      </c>
      <c r="P19">
        <v>0.79400000000000004</v>
      </c>
      <c r="Q19">
        <v>0.79400000000000004</v>
      </c>
      <c r="R19">
        <v>-123.2290649</v>
      </c>
      <c r="S19">
        <v>44.868270899999999</v>
      </c>
      <c r="T19">
        <v>7.25</v>
      </c>
      <c r="U19">
        <v>0.84588240000000003</v>
      </c>
      <c r="V19">
        <v>0.16677120000000001</v>
      </c>
      <c r="W19">
        <v>481904.6875</v>
      </c>
      <c r="X19">
        <v>4968342.5</v>
      </c>
      <c r="Y19">
        <v>0</v>
      </c>
      <c r="AA19">
        <v>4</v>
      </c>
      <c r="AB19">
        <v>0</v>
      </c>
      <c r="AC19">
        <v>0.40200000000000002</v>
      </c>
      <c r="AD19">
        <v>0</v>
      </c>
      <c r="AE19">
        <v>4</v>
      </c>
      <c r="AF19">
        <v>0</v>
      </c>
      <c r="AG19">
        <v>0.40200000000000002</v>
      </c>
      <c r="AH19">
        <v>0</v>
      </c>
      <c r="AI19">
        <v>31.052177400000001</v>
      </c>
      <c r="AJ19">
        <v>1E-4</v>
      </c>
      <c r="AK19">
        <v>0</v>
      </c>
      <c r="AL19">
        <v>0.25206200000000001</v>
      </c>
      <c r="AM19">
        <v>1</v>
      </c>
      <c r="AN19">
        <v>1</v>
      </c>
      <c r="AO19">
        <v>130</v>
      </c>
      <c r="AP19">
        <v>130</v>
      </c>
      <c r="AQ19">
        <v>4272</v>
      </c>
      <c r="AR19">
        <v>745</v>
      </c>
      <c r="AS19">
        <v>2025</v>
      </c>
      <c r="AT19" s="23">
        <v>45792</v>
      </c>
      <c r="AU19" s="23" t="s">
        <v>29</v>
      </c>
      <c r="AV19">
        <v>1</v>
      </c>
      <c r="AW19">
        <v>481904.679999999</v>
      </c>
      <c r="AX19">
        <v>4968342.5</v>
      </c>
      <c r="AY19">
        <v>1256.63706143591</v>
      </c>
      <c r="AZ19">
        <v>125663.706143591</v>
      </c>
      <c r="BA19">
        <v>1.5915E-3</v>
      </c>
      <c r="BB19">
        <v>1.0081700000000001E-2</v>
      </c>
      <c r="BC19">
        <v>1.1140799999999999E-2</v>
      </c>
      <c r="BD19">
        <v>-0.25047049999999998</v>
      </c>
      <c r="BE19">
        <v>-0.24198030000000001</v>
      </c>
      <c r="BF19">
        <v>-0.2409212</v>
      </c>
    </row>
    <row r="20" spans="1:58">
      <c r="A20">
        <v>4766</v>
      </c>
      <c r="B20" t="s">
        <v>102</v>
      </c>
      <c r="C20" t="s">
        <v>86</v>
      </c>
      <c r="G20" s="23">
        <v>43668</v>
      </c>
      <c r="H20">
        <v>3</v>
      </c>
      <c r="I20">
        <v>4320</v>
      </c>
      <c r="J20">
        <v>7</v>
      </c>
      <c r="K20">
        <v>7</v>
      </c>
      <c r="L20">
        <v>8</v>
      </c>
      <c r="M20">
        <v>6</v>
      </c>
      <c r="N20">
        <v>0.69599999999999995</v>
      </c>
      <c r="O20">
        <v>0.69599999999999995</v>
      </c>
      <c r="P20">
        <v>0.79400000000000004</v>
      </c>
      <c r="Q20">
        <v>0.59799999999999998</v>
      </c>
      <c r="R20">
        <v>-123.1614532</v>
      </c>
      <c r="S20">
        <v>44.887092600000003</v>
      </c>
      <c r="T20">
        <v>7</v>
      </c>
      <c r="U20">
        <v>0.81705879999999997</v>
      </c>
      <c r="V20">
        <v>0</v>
      </c>
      <c r="W20">
        <v>487249.96875</v>
      </c>
      <c r="X20">
        <v>4970420.5</v>
      </c>
      <c r="Y20">
        <v>0</v>
      </c>
      <c r="AA20">
        <v>6</v>
      </c>
      <c r="AB20">
        <v>3.5870899999999997E-2</v>
      </c>
      <c r="AC20">
        <v>0.59799999999999998</v>
      </c>
      <c r="AD20">
        <v>0</v>
      </c>
      <c r="AE20">
        <v>8</v>
      </c>
      <c r="AF20">
        <v>0.42351729999999999</v>
      </c>
      <c r="AG20">
        <v>0.79400000000000004</v>
      </c>
      <c r="AH20">
        <v>0</v>
      </c>
      <c r="AI20">
        <v>31.052177400000001</v>
      </c>
      <c r="AJ20">
        <v>0.1074095</v>
      </c>
      <c r="AK20">
        <v>0</v>
      </c>
      <c r="AL20">
        <v>0.31586769999999997</v>
      </c>
      <c r="AM20">
        <v>1</v>
      </c>
      <c r="AN20">
        <v>1</v>
      </c>
      <c r="AO20">
        <v>22</v>
      </c>
      <c r="AP20">
        <v>22</v>
      </c>
      <c r="AQ20">
        <v>4320</v>
      </c>
      <c r="AR20">
        <v>727</v>
      </c>
      <c r="AS20">
        <v>2025</v>
      </c>
      <c r="AT20" s="23">
        <v>45792</v>
      </c>
      <c r="AU20" s="23" t="s">
        <v>29</v>
      </c>
      <c r="AV20">
        <v>0</v>
      </c>
      <c r="AW20">
        <v>487249.96</v>
      </c>
      <c r="AX20">
        <v>4970420.5</v>
      </c>
      <c r="AY20">
        <v>1256.63706143591</v>
      </c>
      <c r="AZ20">
        <v>125663.706143591</v>
      </c>
      <c r="BA20">
        <v>7.9580000000000004E-4</v>
      </c>
      <c r="BB20">
        <v>7.9580000000000004E-4</v>
      </c>
      <c r="BC20">
        <v>1.4629000000000001E-3</v>
      </c>
      <c r="BD20">
        <v>-0.31507190000000002</v>
      </c>
      <c r="BE20">
        <v>-0.31507190000000002</v>
      </c>
      <c r="BF20">
        <v>-0.31440479999999998</v>
      </c>
    </row>
    <row r="21" spans="1:58">
      <c r="A21">
        <v>6112</v>
      </c>
      <c r="B21" t="s">
        <v>103</v>
      </c>
      <c r="C21" t="s">
        <v>86</v>
      </c>
      <c r="G21" s="23">
        <v>43668</v>
      </c>
      <c r="H21">
        <v>3</v>
      </c>
      <c r="I21">
        <v>5321</v>
      </c>
      <c r="J21">
        <v>8</v>
      </c>
      <c r="K21">
        <v>8</v>
      </c>
      <c r="L21">
        <v>6</v>
      </c>
      <c r="M21">
        <v>8</v>
      </c>
      <c r="N21">
        <v>0.79400000000000004</v>
      </c>
      <c r="O21">
        <v>0.79400000000000004</v>
      </c>
      <c r="P21">
        <v>0.59799999999999998</v>
      </c>
      <c r="Q21">
        <v>0.79400000000000004</v>
      </c>
      <c r="R21">
        <v>-123.2705002</v>
      </c>
      <c r="S21">
        <v>44.897033700000001</v>
      </c>
      <c r="T21">
        <v>7.5</v>
      </c>
      <c r="U21">
        <v>0.87470590000000004</v>
      </c>
      <c r="V21">
        <v>0.22083610000000001</v>
      </c>
      <c r="W21">
        <v>478642.46875</v>
      </c>
      <c r="X21">
        <v>4971547.5</v>
      </c>
      <c r="Y21">
        <v>0</v>
      </c>
      <c r="AA21">
        <v>4</v>
      </c>
      <c r="AB21">
        <v>0</v>
      </c>
      <c r="AC21">
        <v>0.40200000000000002</v>
      </c>
      <c r="AD21">
        <v>0</v>
      </c>
      <c r="AE21">
        <v>6</v>
      </c>
      <c r="AF21">
        <v>2.7472999999999998E-3</v>
      </c>
      <c r="AG21">
        <v>0.59799999999999998</v>
      </c>
      <c r="AH21">
        <v>0</v>
      </c>
      <c r="AI21">
        <v>31.052177400000001</v>
      </c>
      <c r="AJ21">
        <v>1E-4</v>
      </c>
      <c r="AK21">
        <v>0</v>
      </c>
      <c r="AL21">
        <v>0.27249610000000002</v>
      </c>
      <c r="AM21">
        <v>1</v>
      </c>
      <c r="AN21">
        <v>1</v>
      </c>
      <c r="AO21">
        <v>28</v>
      </c>
      <c r="AP21">
        <v>28</v>
      </c>
      <c r="AQ21">
        <v>5321</v>
      </c>
      <c r="AR21">
        <v>733</v>
      </c>
      <c r="AS21">
        <v>2025</v>
      </c>
      <c r="AT21" s="23">
        <v>45792</v>
      </c>
      <c r="AU21" s="23" t="s">
        <v>29</v>
      </c>
      <c r="AV21">
        <v>0</v>
      </c>
      <c r="AW21">
        <v>478642.46</v>
      </c>
      <c r="AX21">
        <v>4971547.5</v>
      </c>
      <c r="AY21">
        <v>1256.63706143591</v>
      </c>
      <c r="AZ21">
        <v>125663.706143591</v>
      </c>
      <c r="BA21">
        <v>0.31109920000000002</v>
      </c>
      <c r="BB21">
        <v>0.33576600000000001</v>
      </c>
      <c r="BC21">
        <v>0.3771487</v>
      </c>
      <c r="BD21">
        <v>3.8603100000000001E-2</v>
      </c>
      <c r="BE21">
        <v>6.3269900000000004E-2</v>
      </c>
      <c r="BF21">
        <v>0.1046526</v>
      </c>
    </row>
    <row r="22" spans="1:58">
      <c r="A22">
        <v>107</v>
      </c>
      <c r="B22" t="s">
        <v>104</v>
      </c>
      <c r="C22" t="s">
        <v>86</v>
      </c>
      <c r="G22" s="23">
        <v>43668</v>
      </c>
      <c r="H22">
        <v>3</v>
      </c>
      <c r="I22">
        <v>621</v>
      </c>
      <c r="J22">
        <v>5</v>
      </c>
      <c r="K22">
        <v>6</v>
      </c>
      <c r="L22">
        <v>8</v>
      </c>
      <c r="M22">
        <v>8</v>
      </c>
      <c r="N22">
        <v>0.5</v>
      </c>
      <c r="O22">
        <v>0.59799999999999998</v>
      </c>
      <c r="P22">
        <v>0.79400000000000004</v>
      </c>
      <c r="Q22">
        <v>0.79400000000000004</v>
      </c>
      <c r="R22">
        <v>-123.2561951</v>
      </c>
      <c r="S22">
        <v>44.251606000000002</v>
      </c>
      <c r="T22">
        <v>6.75</v>
      </c>
      <c r="U22">
        <v>0.78823529999999997</v>
      </c>
      <c r="V22">
        <v>0.32608239999999999</v>
      </c>
      <c r="W22">
        <v>479546.625</v>
      </c>
      <c r="X22">
        <v>4899850.5</v>
      </c>
      <c r="Y22">
        <v>0</v>
      </c>
      <c r="AA22">
        <v>3</v>
      </c>
      <c r="AB22">
        <v>0</v>
      </c>
      <c r="AC22">
        <v>0.30399999999999999</v>
      </c>
      <c r="AD22">
        <v>0</v>
      </c>
      <c r="AE22">
        <v>5</v>
      </c>
      <c r="AF22">
        <v>0</v>
      </c>
      <c r="AG22">
        <v>0.5</v>
      </c>
      <c r="AH22">
        <v>0</v>
      </c>
      <c r="AI22">
        <v>31.052177400000001</v>
      </c>
      <c r="AJ22">
        <v>0.22844100000000001</v>
      </c>
      <c r="AK22">
        <v>1</v>
      </c>
      <c r="AL22">
        <v>0.30496060000000003</v>
      </c>
      <c r="AM22">
        <v>1</v>
      </c>
      <c r="AN22">
        <v>1</v>
      </c>
      <c r="AO22">
        <v>19</v>
      </c>
      <c r="AP22">
        <v>19</v>
      </c>
      <c r="AQ22">
        <v>621</v>
      </c>
      <c r="AR22">
        <v>724</v>
      </c>
      <c r="AS22">
        <v>2025</v>
      </c>
      <c r="AT22" s="23">
        <v>45793</v>
      </c>
      <c r="AU22" s="23" t="s">
        <v>29</v>
      </c>
      <c r="AV22">
        <v>0</v>
      </c>
      <c r="AW22">
        <v>479546.61999999901</v>
      </c>
      <c r="AX22">
        <v>4899850.5</v>
      </c>
      <c r="AY22">
        <v>1256.63706143591</v>
      </c>
      <c r="AZ22">
        <v>125663.706143591</v>
      </c>
      <c r="BA22">
        <v>0.32973859999999999</v>
      </c>
      <c r="BB22">
        <v>0.38582309999999997</v>
      </c>
      <c r="BC22">
        <v>7.9580000000000004E-4</v>
      </c>
      <c r="BD22">
        <v>2.4778000000000001E-2</v>
      </c>
      <c r="BE22">
        <v>8.0862500000000004E-2</v>
      </c>
      <c r="BF22">
        <v>-0.30416480000000001</v>
      </c>
    </row>
    <row r="23" spans="1:58">
      <c r="A23">
        <v>1073</v>
      </c>
      <c r="B23" t="s">
        <v>105</v>
      </c>
      <c r="C23" t="s">
        <v>86</v>
      </c>
      <c r="G23" s="23">
        <v>43668</v>
      </c>
      <c r="H23">
        <v>3</v>
      </c>
      <c r="I23">
        <v>1417</v>
      </c>
      <c r="J23">
        <v>7</v>
      </c>
      <c r="K23">
        <v>8</v>
      </c>
      <c r="L23">
        <v>8</v>
      </c>
      <c r="M23">
        <v>8</v>
      </c>
      <c r="N23">
        <v>0.69599999999999995</v>
      </c>
      <c r="O23">
        <v>0.79400000000000004</v>
      </c>
      <c r="P23">
        <v>0.79400000000000004</v>
      </c>
      <c r="Q23">
        <v>0.79400000000000004</v>
      </c>
      <c r="R23">
        <v>-123.33543400000001</v>
      </c>
      <c r="S23">
        <v>44.3635941</v>
      </c>
      <c r="T23">
        <v>7.75</v>
      </c>
      <c r="U23">
        <v>0.90352940000000004</v>
      </c>
      <c r="V23">
        <v>0.3500682</v>
      </c>
      <c r="W23">
        <v>473271.40625</v>
      </c>
      <c r="X23">
        <v>4912312.5</v>
      </c>
      <c r="Y23">
        <v>0</v>
      </c>
      <c r="AA23">
        <v>8</v>
      </c>
      <c r="AB23">
        <v>0.22799349999999999</v>
      </c>
      <c r="AC23">
        <v>0.79400000000000004</v>
      </c>
      <c r="AD23">
        <v>0</v>
      </c>
      <c r="AE23">
        <v>4</v>
      </c>
      <c r="AF23">
        <v>0</v>
      </c>
      <c r="AG23">
        <v>0.40200000000000002</v>
      </c>
      <c r="AH23">
        <v>0</v>
      </c>
      <c r="AI23">
        <v>31.052177400000001</v>
      </c>
      <c r="AJ23">
        <v>0.1558069</v>
      </c>
      <c r="AK23">
        <v>1</v>
      </c>
      <c r="AL23">
        <v>0.29923159999999999</v>
      </c>
      <c r="AM23">
        <v>1</v>
      </c>
      <c r="AN23">
        <v>1</v>
      </c>
      <c r="AO23">
        <v>16</v>
      </c>
      <c r="AP23">
        <v>16</v>
      </c>
      <c r="AQ23">
        <v>1417</v>
      </c>
      <c r="AR23">
        <v>721</v>
      </c>
      <c r="AS23">
        <v>2025</v>
      </c>
      <c r="AT23" s="23">
        <v>45793</v>
      </c>
      <c r="AU23" s="23" t="s">
        <v>29</v>
      </c>
      <c r="AV23">
        <v>0</v>
      </c>
      <c r="AW23">
        <v>473271.4</v>
      </c>
      <c r="AX23">
        <v>4912312.5</v>
      </c>
      <c r="AY23">
        <v>1256.63706143591</v>
      </c>
      <c r="AZ23">
        <v>125663.706143591</v>
      </c>
      <c r="BA23">
        <v>0.31958259999999999</v>
      </c>
      <c r="BB23">
        <v>0.36455019999999999</v>
      </c>
      <c r="BC23">
        <v>0.41286390000000001</v>
      </c>
      <c r="BD23">
        <v>2.0350900000000002E-2</v>
      </c>
      <c r="BE23">
        <v>6.5318600000000004E-2</v>
      </c>
      <c r="BF23">
        <v>0.1136322</v>
      </c>
    </row>
    <row r="24" spans="1:58">
      <c r="A24">
        <v>3665</v>
      </c>
      <c r="B24" t="s">
        <v>105</v>
      </c>
      <c r="C24" t="s">
        <v>86</v>
      </c>
      <c r="G24" s="23">
        <v>43668</v>
      </c>
      <c r="H24">
        <v>3</v>
      </c>
      <c r="I24">
        <v>3515</v>
      </c>
      <c r="J24">
        <v>8</v>
      </c>
      <c r="K24">
        <v>6</v>
      </c>
      <c r="L24">
        <v>6</v>
      </c>
      <c r="M24">
        <v>8</v>
      </c>
      <c r="N24">
        <v>0.79400000000000004</v>
      </c>
      <c r="O24">
        <v>0.59799999999999998</v>
      </c>
      <c r="P24">
        <v>0.59799999999999998</v>
      </c>
      <c r="Q24">
        <v>0.79400000000000004</v>
      </c>
      <c r="R24">
        <v>-123.3326874</v>
      </c>
      <c r="S24">
        <v>44.343448600000002</v>
      </c>
      <c r="T24">
        <v>7</v>
      </c>
      <c r="U24">
        <v>0.81705879999999997</v>
      </c>
      <c r="V24">
        <v>0.2172742</v>
      </c>
      <c r="W24">
        <v>473481.53125</v>
      </c>
      <c r="X24">
        <v>4910073.5</v>
      </c>
      <c r="Y24">
        <v>0</v>
      </c>
      <c r="AA24">
        <v>5</v>
      </c>
      <c r="AB24">
        <v>5.5170000000000002E-4</v>
      </c>
      <c r="AC24">
        <v>0.5</v>
      </c>
      <c r="AD24">
        <v>0</v>
      </c>
      <c r="AE24">
        <v>8</v>
      </c>
      <c r="AF24">
        <v>0.33477580000000001</v>
      </c>
      <c r="AG24">
        <v>0.79400000000000004</v>
      </c>
      <c r="AH24">
        <v>0</v>
      </c>
      <c r="AI24">
        <v>31.052177400000001</v>
      </c>
      <c r="AJ24">
        <v>1E-4</v>
      </c>
      <c r="AK24">
        <v>0</v>
      </c>
      <c r="AL24">
        <v>0.32303850000000001</v>
      </c>
      <c r="AM24">
        <v>1</v>
      </c>
      <c r="AN24">
        <v>1</v>
      </c>
      <c r="AO24">
        <v>17</v>
      </c>
      <c r="AP24">
        <v>17</v>
      </c>
      <c r="AQ24">
        <v>3515</v>
      </c>
      <c r="AR24">
        <v>722</v>
      </c>
      <c r="AS24">
        <v>2025</v>
      </c>
      <c r="AT24" s="23">
        <v>45793</v>
      </c>
      <c r="AU24" s="23" t="s">
        <v>29</v>
      </c>
      <c r="AV24">
        <v>0</v>
      </c>
      <c r="AW24">
        <v>473481.53</v>
      </c>
      <c r="AX24">
        <v>4910073.5</v>
      </c>
      <c r="AY24">
        <v>1256.63706143591</v>
      </c>
      <c r="AZ24">
        <v>125663.706143591</v>
      </c>
      <c r="BA24">
        <v>7.9576999999999998E-3</v>
      </c>
      <c r="BB24">
        <v>7.9580000000000004E-4</v>
      </c>
      <c r="BC24">
        <v>7.9580000000000004E-4</v>
      </c>
      <c r="BD24">
        <v>-0.31508079999999999</v>
      </c>
      <c r="BE24">
        <v>-0.32224269999999999</v>
      </c>
      <c r="BF24">
        <v>-0.32224269999999999</v>
      </c>
    </row>
    <row r="25" spans="1:58">
      <c r="A25">
        <v>3898</v>
      </c>
      <c r="B25" t="s">
        <v>97</v>
      </c>
      <c r="C25" t="s">
        <v>98</v>
      </c>
      <c r="D25" t="s">
        <v>99</v>
      </c>
      <c r="G25" s="23">
        <v>43668</v>
      </c>
      <c r="H25">
        <v>3</v>
      </c>
      <c r="I25">
        <v>3708</v>
      </c>
      <c r="J25">
        <v>8</v>
      </c>
      <c r="K25">
        <v>8</v>
      </c>
      <c r="L25">
        <v>8</v>
      </c>
      <c r="M25">
        <v>8</v>
      </c>
      <c r="N25">
        <v>0.79400000000000004</v>
      </c>
      <c r="O25">
        <v>0.79400000000000004</v>
      </c>
      <c r="P25">
        <v>0.79400000000000004</v>
      </c>
      <c r="Q25">
        <v>0.79400000000000004</v>
      </c>
      <c r="R25">
        <v>-123.2808151</v>
      </c>
      <c r="S25">
        <v>44.408245100000002</v>
      </c>
      <c r="T25">
        <v>8</v>
      </c>
      <c r="U25">
        <v>0.93235299999999999</v>
      </c>
      <c r="V25">
        <v>0.43817919999999999</v>
      </c>
      <c r="W25">
        <v>477640.59375</v>
      </c>
      <c r="X25">
        <v>4917255.5</v>
      </c>
      <c r="Y25">
        <v>0</v>
      </c>
      <c r="AA25">
        <v>8</v>
      </c>
      <c r="AB25">
        <v>0.26548759999999999</v>
      </c>
      <c r="AC25">
        <v>0.79400000000000004</v>
      </c>
      <c r="AD25">
        <v>0</v>
      </c>
      <c r="AE25">
        <v>7</v>
      </c>
      <c r="AF25">
        <v>0.18200050000000001</v>
      </c>
      <c r="AG25">
        <v>0.69599999999999995</v>
      </c>
      <c r="AH25">
        <v>0</v>
      </c>
      <c r="AI25">
        <v>31.052177400000001</v>
      </c>
      <c r="AJ25">
        <v>6.8135000000000001E-3</v>
      </c>
      <c r="AK25">
        <v>0</v>
      </c>
      <c r="AL25">
        <v>0.48643370000000002</v>
      </c>
      <c r="AM25">
        <v>1</v>
      </c>
      <c r="AN25">
        <v>1</v>
      </c>
      <c r="AO25">
        <v>11</v>
      </c>
      <c r="AP25">
        <v>11</v>
      </c>
      <c r="AQ25">
        <v>3708</v>
      </c>
      <c r="AR25">
        <v>716</v>
      </c>
      <c r="AS25">
        <v>2025</v>
      </c>
      <c r="AT25" s="23">
        <v>45793</v>
      </c>
      <c r="AU25" s="23" t="s">
        <v>29</v>
      </c>
      <c r="AV25">
        <v>0</v>
      </c>
      <c r="AW25">
        <v>477640.59</v>
      </c>
      <c r="AX25">
        <v>4917255.5</v>
      </c>
      <c r="AY25">
        <v>1256.63706143591</v>
      </c>
      <c r="AZ25">
        <v>125663.706143591</v>
      </c>
      <c r="BA25">
        <v>3.4486E-3</v>
      </c>
      <c r="BB25">
        <v>1.5915E-3</v>
      </c>
      <c r="BC25">
        <v>1.5915E-3</v>
      </c>
      <c r="BD25">
        <v>-0.482985</v>
      </c>
      <c r="BE25">
        <v>-0.4848421</v>
      </c>
      <c r="BF25">
        <v>-0.4848421</v>
      </c>
    </row>
    <row r="26" spans="1:58">
      <c r="A26">
        <v>3899</v>
      </c>
      <c r="B26" t="s">
        <v>97</v>
      </c>
      <c r="C26" t="s">
        <v>98</v>
      </c>
      <c r="D26" t="s">
        <v>99</v>
      </c>
      <c r="G26" s="23">
        <v>43668</v>
      </c>
      <c r="H26">
        <v>3</v>
      </c>
      <c r="I26">
        <v>3709</v>
      </c>
      <c r="J26">
        <v>8</v>
      </c>
      <c r="K26">
        <v>8</v>
      </c>
      <c r="L26">
        <v>8</v>
      </c>
      <c r="M26">
        <v>8</v>
      </c>
      <c r="N26">
        <v>0.79400000000000004</v>
      </c>
      <c r="O26">
        <v>0.79400000000000004</v>
      </c>
      <c r="P26">
        <v>0.79400000000000004</v>
      </c>
      <c r="Q26">
        <v>0.79400000000000004</v>
      </c>
      <c r="R26">
        <v>-123.2822113</v>
      </c>
      <c r="S26">
        <v>44.402477300000001</v>
      </c>
      <c r="T26">
        <v>8</v>
      </c>
      <c r="U26">
        <v>0.93235299999999999</v>
      </c>
      <c r="V26">
        <v>0.27370549999999999</v>
      </c>
      <c r="W26">
        <v>477527.6875</v>
      </c>
      <c r="X26">
        <v>4916615.5</v>
      </c>
      <c r="Y26">
        <v>1</v>
      </c>
      <c r="Z26">
        <v>0</v>
      </c>
      <c r="AA26">
        <v>7</v>
      </c>
      <c r="AB26">
        <v>0.2035872</v>
      </c>
      <c r="AC26">
        <v>0.69599999999999995</v>
      </c>
      <c r="AD26">
        <v>0</v>
      </c>
      <c r="AE26">
        <v>8</v>
      </c>
      <c r="AF26">
        <v>0.56085830000000003</v>
      </c>
      <c r="AG26">
        <v>0.79400000000000004</v>
      </c>
      <c r="AH26">
        <v>0</v>
      </c>
      <c r="AI26">
        <v>31.052177400000001</v>
      </c>
      <c r="AJ26">
        <v>0.43164400000000003</v>
      </c>
      <c r="AK26">
        <v>1</v>
      </c>
      <c r="AL26">
        <v>0.63388359999999999</v>
      </c>
      <c r="AM26">
        <v>1</v>
      </c>
      <c r="AN26">
        <v>1</v>
      </c>
      <c r="AO26">
        <v>12</v>
      </c>
      <c r="AP26">
        <v>12</v>
      </c>
      <c r="AQ26">
        <v>3709</v>
      </c>
      <c r="AR26">
        <v>717</v>
      </c>
      <c r="AS26">
        <v>2025</v>
      </c>
      <c r="AT26" s="23">
        <v>45793</v>
      </c>
      <c r="AU26" s="23" t="s">
        <v>29</v>
      </c>
      <c r="AV26">
        <v>0</v>
      </c>
      <c r="AW26">
        <v>477527.679999999</v>
      </c>
      <c r="AX26">
        <v>4916615.5</v>
      </c>
      <c r="AY26">
        <v>1256.63706143591</v>
      </c>
      <c r="AZ26">
        <v>125663.706143591</v>
      </c>
      <c r="BA26">
        <v>7.8490000000000005E-4</v>
      </c>
      <c r="BB26">
        <v>7.8490000000000005E-4</v>
      </c>
      <c r="BC26">
        <v>7.9580000000000004E-4</v>
      </c>
      <c r="BD26">
        <v>-0.63309870000000001</v>
      </c>
      <c r="BE26">
        <v>-0.63309870000000001</v>
      </c>
      <c r="BF26">
        <v>-0.63308779999999998</v>
      </c>
    </row>
    <row r="27" spans="1:58">
      <c r="A27">
        <v>4114</v>
      </c>
      <c r="B27" t="s">
        <v>106</v>
      </c>
      <c r="C27" t="s">
        <v>86</v>
      </c>
      <c r="G27" s="23">
        <v>43668</v>
      </c>
      <c r="H27">
        <v>3</v>
      </c>
      <c r="I27">
        <v>3863</v>
      </c>
      <c r="J27">
        <v>8</v>
      </c>
      <c r="K27">
        <v>8</v>
      </c>
      <c r="L27">
        <v>8</v>
      </c>
      <c r="M27">
        <v>8</v>
      </c>
      <c r="N27">
        <v>0.79400000000000004</v>
      </c>
      <c r="O27">
        <v>0.79400000000000004</v>
      </c>
      <c r="P27">
        <v>0.79400000000000004</v>
      </c>
      <c r="Q27">
        <v>0.79400000000000004</v>
      </c>
      <c r="R27">
        <v>-123.2499847</v>
      </c>
      <c r="S27">
        <v>44.377231600000002</v>
      </c>
      <c r="T27">
        <v>8</v>
      </c>
      <c r="U27">
        <v>0.93235299999999999</v>
      </c>
      <c r="V27">
        <v>0.30746780000000001</v>
      </c>
      <c r="W27">
        <v>480085.21875</v>
      </c>
      <c r="X27">
        <v>4913802.5</v>
      </c>
      <c r="Y27">
        <v>0</v>
      </c>
      <c r="AA27">
        <v>7</v>
      </c>
      <c r="AB27">
        <v>0.1167118</v>
      </c>
      <c r="AC27">
        <v>0.69599999999999995</v>
      </c>
      <c r="AD27">
        <v>1</v>
      </c>
      <c r="AE27">
        <v>7</v>
      </c>
      <c r="AF27">
        <v>0.116827</v>
      </c>
      <c r="AG27">
        <v>0.69599999999999995</v>
      </c>
      <c r="AH27">
        <v>0</v>
      </c>
      <c r="AI27">
        <v>31.052177400000001</v>
      </c>
      <c r="AJ27">
        <v>0.1021355</v>
      </c>
      <c r="AK27">
        <v>1</v>
      </c>
      <c r="AL27">
        <v>0.50449500000000003</v>
      </c>
      <c r="AM27">
        <v>1</v>
      </c>
      <c r="AN27">
        <v>1</v>
      </c>
      <c r="AO27">
        <v>14</v>
      </c>
      <c r="AP27">
        <v>14</v>
      </c>
      <c r="AQ27">
        <v>3863</v>
      </c>
      <c r="AR27">
        <v>719</v>
      </c>
      <c r="AS27">
        <v>2025</v>
      </c>
      <c r="AT27" s="23">
        <v>45793</v>
      </c>
      <c r="AU27" s="23" t="s">
        <v>29</v>
      </c>
      <c r="AV27">
        <v>0</v>
      </c>
      <c r="AW27">
        <v>480085.21</v>
      </c>
      <c r="AX27">
        <v>4913802.5</v>
      </c>
      <c r="AY27">
        <v>1256.63706143591</v>
      </c>
      <c r="AZ27">
        <v>125663.706143591</v>
      </c>
      <c r="BA27">
        <v>7.9580000000000004E-4</v>
      </c>
      <c r="BB27">
        <v>1.5915E-3</v>
      </c>
      <c r="BC27">
        <v>7.9580000000000004E-4</v>
      </c>
      <c r="BD27">
        <v>-0.50369920000000001</v>
      </c>
      <c r="BE27">
        <v>-0.5029034</v>
      </c>
      <c r="BF27">
        <v>-0.50369920000000001</v>
      </c>
    </row>
    <row r="28" spans="1:58">
      <c r="A28">
        <v>4404</v>
      </c>
      <c r="B28" t="s">
        <v>107</v>
      </c>
      <c r="C28" t="s">
        <v>86</v>
      </c>
      <c r="G28" s="23">
        <v>43668</v>
      </c>
      <c r="H28">
        <v>3</v>
      </c>
      <c r="I28">
        <v>4070</v>
      </c>
      <c r="J28">
        <v>7</v>
      </c>
      <c r="K28">
        <v>8</v>
      </c>
      <c r="L28">
        <v>8</v>
      </c>
      <c r="M28">
        <v>8</v>
      </c>
      <c r="N28">
        <v>0.69599999999999995</v>
      </c>
      <c r="O28">
        <v>0.79400000000000004</v>
      </c>
      <c r="P28">
        <v>0.79400000000000004</v>
      </c>
      <c r="Q28">
        <v>0.79400000000000004</v>
      </c>
      <c r="R28">
        <v>-123.31446080000001</v>
      </c>
      <c r="S28">
        <v>44.3038788</v>
      </c>
      <c r="T28">
        <v>7.75</v>
      </c>
      <c r="U28">
        <v>0.90352940000000004</v>
      </c>
      <c r="V28">
        <v>0.2663953</v>
      </c>
      <c r="W28">
        <v>474917.375</v>
      </c>
      <c r="X28">
        <v>4905673</v>
      </c>
      <c r="Y28">
        <v>1</v>
      </c>
      <c r="Z28">
        <v>0</v>
      </c>
      <c r="AA28">
        <v>8</v>
      </c>
      <c r="AB28">
        <v>0.38299830000000001</v>
      </c>
      <c r="AC28">
        <v>0.79400000000000004</v>
      </c>
      <c r="AD28">
        <v>0</v>
      </c>
      <c r="AE28">
        <v>8</v>
      </c>
      <c r="AF28">
        <v>0.2348063</v>
      </c>
      <c r="AG28">
        <v>0.79400000000000004</v>
      </c>
      <c r="AH28">
        <v>0</v>
      </c>
      <c r="AI28">
        <v>31.052177400000001</v>
      </c>
      <c r="AJ28">
        <v>0.23302590000000001</v>
      </c>
      <c r="AK28">
        <v>1</v>
      </c>
      <c r="AL28">
        <v>0.30933519999999998</v>
      </c>
      <c r="AM28">
        <v>1</v>
      </c>
      <c r="AN28">
        <v>1</v>
      </c>
      <c r="AO28">
        <v>18</v>
      </c>
      <c r="AP28">
        <v>18</v>
      </c>
      <c r="AQ28">
        <v>4070</v>
      </c>
      <c r="AR28">
        <v>723</v>
      </c>
      <c r="AS28">
        <v>2025</v>
      </c>
      <c r="AT28" s="23">
        <v>45793</v>
      </c>
      <c r="AU28" s="23" t="s">
        <v>29</v>
      </c>
      <c r="AV28">
        <v>0</v>
      </c>
      <c r="AW28">
        <v>474917.36999999901</v>
      </c>
      <c r="AX28">
        <v>4905673</v>
      </c>
      <c r="AY28">
        <v>1256.63706143591</v>
      </c>
      <c r="AZ28">
        <v>125663.706143591</v>
      </c>
      <c r="BA28">
        <v>0.17396780000000001</v>
      </c>
      <c r="BB28">
        <v>6.9439999999999997E-4</v>
      </c>
      <c r="BC28">
        <v>7.9580000000000004E-4</v>
      </c>
      <c r="BD28">
        <v>-0.1353674</v>
      </c>
      <c r="BE28">
        <v>-0.30864069999999999</v>
      </c>
      <c r="BF28">
        <v>-0.30853940000000002</v>
      </c>
    </row>
    <row r="29" spans="1:58">
      <c r="A29">
        <v>4761</v>
      </c>
      <c r="B29" t="s">
        <v>108</v>
      </c>
      <c r="C29" t="s">
        <v>86</v>
      </c>
      <c r="G29" s="23">
        <v>43668</v>
      </c>
      <c r="H29">
        <v>3</v>
      </c>
      <c r="I29">
        <v>4316</v>
      </c>
      <c r="J29">
        <v>7</v>
      </c>
      <c r="K29">
        <v>7</v>
      </c>
      <c r="L29">
        <v>6</v>
      </c>
      <c r="M29">
        <v>7</v>
      </c>
      <c r="N29">
        <v>0.69599999999999995</v>
      </c>
      <c r="O29">
        <v>0.69599999999999995</v>
      </c>
      <c r="P29">
        <v>0.59799999999999998</v>
      </c>
      <c r="Q29">
        <v>0.69599999999999995</v>
      </c>
      <c r="R29">
        <v>-123.2628632</v>
      </c>
      <c r="S29">
        <v>44.390464799999997</v>
      </c>
      <c r="T29">
        <v>6.75</v>
      </c>
      <c r="U29">
        <v>0.78823529999999997</v>
      </c>
      <c r="V29">
        <v>1.9139999999999999E-4</v>
      </c>
      <c r="W29">
        <v>479063.71875</v>
      </c>
      <c r="X29">
        <v>4915276</v>
      </c>
      <c r="Y29">
        <v>0</v>
      </c>
      <c r="AA29">
        <v>6</v>
      </c>
      <c r="AB29">
        <v>7.6714000000000001E-3</v>
      </c>
      <c r="AC29">
        <v>0.59799999999999998</v>
      </c>
      <c r="AD29">
        <v>1</v>
      </c>
      <c r="AE29">
        <v>6</v>
      </c>
      <c r="AF29">
        <v>8.2082000000000006E-3</v>
      </c>
      <c r="AG29">
        <v>0.59799999999999998</v>
      </c>
      <c r="AH29">
        <v>0</v>
      </c>
      <c r="AI29">
        <v>31.052177400000001</v>
      </c>
      <c r="AJ29">
        <v>0.37267400000000001</v>
      </c>
      <c r="AK29">
        <v>1</v>
      </c>
      <c r="AL29">
        <v>0.24075869999999999</v>
      </c>
      <c r="AM29">
        <v>1</v>
      </c>
      <c r="AN29">
        <v>1</v>
      </c>
      <c r="AO29">
        <v>13</v>
      </c>
      <c r="AP29">
        <v>13</v>
      </c>
      <c r="AQ29">
        <v>4316</v>
      </c>
      <c r="AR29">
        <v>718</v>
      </c>
      <c r="AS29">
        <v>2025</v>
      </c>
      <c r="AT29" s="23">
        <v>45793</v>
      </c>
      <c r="AU29" s="23" t="s">
        <v>29</v>
      </c>
      <c r="AV29">
        <v>0</v>
      </c>
      <c r="AW29">
        <v>479063.71</v>
      </c>
      <c r="AX29">
        <v>4915276</v>
      </c>
      <c r="AY29">
        <v>1256.63706143591</v>
      </c>
      <c r="AZ29">
        <v>125663.706143591</v>
      </c>
      <c r="BA29">
        <v>2.3873000000000002E-3</v>
      </c>
      <c r="BB29">
        <v>2.3873000000000002E-3</v>
      </c>
      <c r="BC29">
        <v>1.5915E-3</v>
      </c>
      <c r="BD29">
        <v>-0.23837130000000001</v>
      </c>
      <c r="BE29">
        <v>-0.23837130000000001</v>
      </c>
      <c r="BF29">
        <v>-0.23916709999999999</v>
      </c>
    </row>
    <row r="30" spans="1:58">
      <c r="A30">
        <v>5231</v>
      </c>
      <c r="B30" t="s">
        <v>97</v>
      </c>
      <c r="C30" t="s">
        <v>98</v>
      </c>
      <c r="D30" t="s">
        <v>99</v>
      </c>
      <c r="G30" s="23">
        <v>43668</v>
      </c>
      <c r="H30">
        <v>3</v>
      </c>
      <c r="I30">
        <v>4684</v>
      </c>
      <c r="J30">
        <v>6</v>
      </c>
      <c r="K30">
        <v>7</v>
      </c>
      <c r="L30">
        <v>6</v>
      </c>
      <c r="M30">
        <v>7</v>
      </c>
      <c r="N30">
        <v>0.59799999999999998</v>
      </c>
      <c r="O30">
        <v>0.69599999999999995</v>
      </c>
      <c r="P30">
        <v>0.59799999999999998</v>
      </c>
      <c r="Q30">
        <v>0.69599999999999995</v>
      </c>
      <c r="R30">
        <v>-123.2792664</v>
      </c>
      <c r="S30">
        <v>44.417163799999997</v>
      </c>
      <c r="T30">
        <v>6.5</v>
      </c>
      <c r="U30">
        <v>0.75941179999999997</v>
      </c>
      <c r="V30">
        <v>1.9231999999999999E-3</v>
      </c>
      <c r="W30">
        <v>477767.34375</v>
      </c>
      <c r="X30">
        <v>4918245.5</v>
      </c>
      <c r="Y30">
        <v>0</v>
      </c>
      <c r="AA30">
        <v>4</v>
      </c>
      <c r="AB30">
        <v>0</v>
      </c>
      <c r="AC30">
        <v>0.40200000000000002</v>
      </c>
      <c r="AD30">
        <v>0</v>
      </c>
      <c r="AE30">
        <v>5</v>
      </c>
      <c r="AF30">
        <v>4.1550000000000002E-4</v>
      </c>
      <c r="AG30">
        <v>0.5</v>
      </c>
      <c r="AH30">
        <v>0</v>
      </c>
      <c r="AI30">
        <v>31.052177400000001</v>
      </c>
      <c r="AJ30">
        <v>1E-4</v>
      </c>
      <c r="AK30">
        <v>0</v>
      </c>
      <c r="AL30">
        <v>0.27606140000000001</v>
      </c>
      <c r="AM30">
        <v>1</v>
      </c>
      <c r="AN30">
        <v>1</v>
      </c>
      <c r="AO30">
        <v>10</v>
      </c>
      <c r="AP30">
        <v>10</v>
      </c>
      <c r="AQ30">
        <v>4684</v>
      </c>
      <c r="AR30">
        <v>715</v>
      </c>
      <c r="AS30">
        <v>2025</v>
      </c>
      <c r="AT30" s="23">
        <v>45793</v>
      </c>
      <c r="AU30" s="23" t="s">
        <v>29</v>
      </c>
      <c r="AV30">
        <v>0</v>
      </c>
      <c r="AW30">
        <v>477767.34</v>
      </c>
      <c r="AX30">
        <v>4918245.5</v>
      </c>
      <c r="AY30">
        <v>1256.63706143591</v>
      </c>
      <c r="AZ30">
        <v>125663.706143591</v>
      </c>
      <c r="BA30">
        <v>5.9310000000000005E-4</v>
      </c>
      <c r="BB30">
        <v>7.9580000000000004E-4</v>
      </c>
      <c r="BC30">
        <v>3.9788999999999996E-3</v>
      </c>
      <c r="BD30">
        <v>-0.2754683</v>
      </c>
      <c r="BE30">
        <v>-0.2752657</v>
      </c>
      <c r="BF30">
        <v>-0.27208260000000001</v>
      </c>
    </row>
    <row r="31" spans="1:58">
      <c r="A31">
        <v>5748</v>
      </c>
      <c r="B31" t="s">
        <v>109</v>
      </c>
      <c r="C31" t="s">
        <v>86</v>
      </c>
      <c r="G31" s="23">
        <v>43668</v>
      </c>
      <c r="H31">
        <v>3</v>
      </c>
      <c r="I31">
        <v>5091</v>
      </c>
      <c r="J31">
        <v>6</v>
      </c>
      <c r="K31">
        <v>6</v>
      </c>
      <c r="L31">
        <v>6</v>
      </c>
      <c r="M31">
        <v>6</v>
      </c>
      <c r="N31">
        <v>0.59799999999999998</v>
      </c>
      <c r="O31">
        <v>0.59799999999999998</v>
      </c>
      <c r="P31">
        <v>0.59799999999999998</v>
      </c>
      <c r="Q31">
        <v>0.59799999999999998</v>
      </c>
      <c r="R31">
        <v>-123.2442017</v>
      </c>
      <c r="S31">
        <v>44.367816900000001</v>
      </c>
      <c r="T31">
        <v>6</v>
      </c>
      <c r="U31">
        <v>0.70176470000000002</v>
      </c>
      <c r="V31">
        <v>0</v>
      </c>
      <c r="W31">
        <v>480542.9375</v>
      </c>
      <c r="X31">
        <v>4912756</v>
      </c>
      <c r="Y31">
        <v>0</v>
      </c>
      <c r="AA31">
        <v>5</v>
      </c>
      <c r="AB31">
        <v>0</v>
      </c>
      <c r="AC31">
        <v>0.5</v>
      </c>
      <c r="AD31">
        <v>0</v>
      </c>
      <c r="AE31">
        <v>5</v>
      </c>
      <c r="AF31">
        <v>0</v>
      </c>
      <c r="AG31">
        <v>0.5</v>
      </c>
      <c r="AH31">
        <v>0</v>
      </c>
      <c r="AI31">
        <v>31.052177400000001</v>
      </c>
      <c r="AJ31">
        <v>3.2248499999999999E-2</v>
      </c>
      <c r="AK31">
        <v>0</v>
      </c>
      <c r="AL31">
        <v>0.39766439999999997</v>
      </c>
      <c r="AM31">
        <v>1</v>
      </c>
      <c r="AN31">
        <v>1</v>
      </c>
      <c r="AO31">
        <v>15</v>
      </c>
      <c r="AP31">
        <v>15</v>
      </c>
      <c r="AQ31">
        <v>5091</v>
      </c>
      <c r="AR31">
        <v>720</v>
      </c>
      <c r="AS31">
        <v>2025</v>
      </c>
      <c r="AT31" s="23">
        <v>45793</v>
      </c>
      <c r="AU31" s="23" t="s">
        <v>29</v>
      </c>
      <c r="AV31">
        <v>0</v>
      </c>
      <c r="AW31">
        <v>480542.929999999</v>
      </c>
      <c r="AX31">
        <v>4912756</v>
      </c>
      <c r="AY31">
        <v>1256.63706143591</v>
      </c>
      <c r="AZ31">
        <v>125663.706143591</v>
      </c>
      <c r="BA31">
        <v>0.49713570000000001</v>
      </c>
      <c r="BB31">
        <v>0.52663890000000002</v>
      </c>
      <c r="BC31">
        <v>7.9580000000000004E-4</v>
      </c>
      <c r="BD31">
        <v>9.9471400000000001E-2</v>
      </c>
      <c r="BE31">
        <v>0.12897459999999999</v>
      </c>
      <c r="BF31">
        <v>-0.39686860000000002</v>
      </c>
    </row>
    <row r="32" spans="1:58">
      <c r="A32">
        <v>525</v>
      </c>
      <c r="B32" t="s">
        <v>110</v>
      </c>
      <c r="C32" t="s">
        <v>86</v>
      </c>
      <c r="G32" s="23">
        <v>43668</v>
      </c>
      <c r="H32">
        <v>3</v>
      </c>
      <c r="I32">
        <v>960</v>
      </c>
      <c r="J32">
        <v>0</v>
      </c>
      <c r="K32">
        <v>0</v>
      </c>
      <c r="L32">
        <v>0</v>
      </c>
      <c r="M32">
        <v>0</v>
      </c>
      <c r="N32">
        <v>0.01</v>
      </c>
      <c r="O32">
        <v>0.01</v>
      </c>
      <c r="P32">
        <v>0.01</v>
      </c>
      <c r="Q32">
        <v>0.01</v>
      </c>
      <c r="R32">
        <v>-123.2923737</v>
      </c>
      <c r="S32">
        <v>44.741951</v>
      </c>
      <c r="T32">
        <v>0</v>
      </c>
      <c r="U32">
        <v>0.01</v>
      </c>
      <c r="V32">
        <v>0</v>
      </c>
      <c r="W32">
        <v>476853.34375</v>
      </c>
      <c r="X32">
        <v>4954326.5</v>
      </c>
      <c r="Y32">
        <v>0</v>
      </c>
      <c r="AA32">
        <v>3</v>
      </c>
      <c r="AB32">
        <v>0</v>
      </c>
      <c r="AC32">
        <v>0.30399999999999999</v>
      </c>
      <c r="AD32">
        <v>0</v>
      </c>
      <c r="AE32">
        <v>8</v>
      </c>
      <c r="AF32">
        <v>0.32970260000000001</v>
      </c>
      <c r="AG32">
        <v>0.79400000000000004</v>
      </c>
      <c r="AH32">
        <v>0</v>
      </c>
      <c r="AI32">
        <v>31.052177400000001</v>
      </c>
      <c r="AJ32">
        <v>0.28608139999999999</v>
      </c>
      <c r="AK32">
        <v>1</v>
      </c>
      <c r="AL32">
        <v>0.28187830000000003</v>
      </c>
      <c r="AM32">
        <v>1</v>
      </c>
      <c r="AN32">
        <v>1</v>
      </c>
      <c r="AO32">
        <v>1</v>
      </c>
      <c r="AP32">
        <v>1</v>
      </c>
      <c r="AQ32">
        <v>960</v>
      </c>
      <c r="AR32">
        <v>706</v>
      </c>
      <c r="AS32">
        <v>2025</v>
      </c>
      <c r="AT32" s="23">
        <v>45797</v>
      </c>
      <c r="AU32" s="23" t="s">
        <v>29</v>
      </c>
      <c r="AV32">
        <v>1</v>
      </c>
      <c r="AW32">
        <v>476853.34</v>
      </c>
      <c r="AX32">
        <v>4954326.5</v>
      </c>
      <c r="AY32">
        <v>1256.63706143591</v>
      </c>
      <c r="AZ32">
        <v>125663.706143591</v>
      </c>
      <c r="BA32">
        <v>0.3038903</v>
      </c>
      <c r="BB32">
        <v>0.52907249999999995</v>
      </c>
      <c r="BC32">
        <v>0.51861840000000003</v>
      </c>
      <c r="BD32">
        <v>2.2012E-2</v>
      </c>
      <c r="BE32">
        <v>0.2471942</v>
      </c>
      <c r="BF32">
        <v>0.23674010000000001</v>
      </c>
    </row>
    <row r="33" spans="1:58">
      <c r="A33">
        <v>1645</v>
      </c>
      <c r="B33" t="s">
        <v>111</v>
      </c>
      <c r="C33" t="s">
        <v>86</v>
      </c>
      <c r="G33" s="23">
        <v>43668</v>
      </c>
      <c r="H33">
        <v>2</v>
      </c>
      <c r="I33">
        <v>1896</v>
      </c>
      <c r="J33">
        <v>5</v>
      </c>
      <c r="K33">
        <v>5</v>
      </c>
      <c r="L33">
        <v>6</v>
      </c>
      <c r="M33">
        <v>6</v>
      </c>
      <c r="N33">
        <v>0.5</v>
      </c>
      <c r="O33">
        <v>0.5</v>
      </c>
      <c r="P33">
        <v>0.59799999999999998</v>
      </c>
      <c r="Q33">
        <v>0.59799999999999998</v>
      </c>
      <c r="R33">
        <v>-122.89865880000001</v>
      </c>
      <c r="S33">
        <v>44.600814800000002</v>
      </c>
      <c r="T33">
        <v>5.5</v>
      </c>
      <c r="U33">
        <v>0.64411770000000002</v>
      </c>
      <c r="V33">
        <v>0</v>
      </c>
      <c r="W33">
        <v>508042.53125</v>
      </c>
      <c r="X33">
        <v>4938612.5</v>
      </c>
      <c r="Y33">
        <v>1</v>
      </c>
      <c r="Z33">
        <v>0</v>
      </c>
      <c r="AA33">
        <v>4</v>
      </c>
      <c r="AB33">
        <v>0</v>
      </c>
      <c r="AC33">
        <v>0.40200000000000002</v>
      </c>
      <c r="AD33">
        <v>0</v>
      </c>
      <c r="AE33">
        <v>4</v>
      </c>
      <c r="AF33">
        <v>0</v>
      </c>
      <c r="AG33">
        <v>0.40200000000000002</v>
      </c>
      <c r="AH33">
        <v>0</v>
      </c>
      <c r="AI33">
        <v>31.052177400000001</v>
      </c>
      <c r="AJ33">
        <v>1E-4</v>
      </c>
      <c r="AK33">
        <v>0</v>
      </c>
      <c r="AL33">
        <v>0.35385759999999999</v>
      </c>
      <c r="AM33">
        <v>1</v>
      </c>
      <c r="AN33">
        <v>1</v>
      </c>
      <c r="AO33">
        <v>8</v>
      </c>
      <c r="AP33">
        <v>8</v>
      </c>
      <c r="AQ33">
        <v>1896</v>
      </c>
      <c r="AR33">
        <v>713</v>
      </c>
      <c r="AS33">
        <v>2025</v>
      </c>
      <c r="AT33" s="23">
        <v>45797</v>
      </c>
      <c r="AU33" s="23" t="s">
        <v>29</v>
      </c>
      <c r="AV33">
        <v>0</v>
      </c>
      <c r="AW33">
        <v>508042.53</v>
      </c>
      <c r="AX33">
        <v>4938612.5</v>
      </c>
      <c r="AY33">
        <v>1256.63706143591</v>
      </c>
      <c r="AZ33">
        <v>125663.706143591</v>
      </c>
      <c r="BA33">
        <v>4.9870000000000003E-4</v>
      </c>
      <c r="BB33">
        <v>0</v>
      </c>
      <c r="BC33">
        <v>7.9580000000000004E-4</v>
      </c>
      <c r="BD33">
        <v>-0.35335889999999998</v>
      </c>
      <c r="BE33">
        <v>-0.35385759999999999</v>
      </c>
      <c r="BF33">
        <v>-0.35306179999999998</v>
      </c>
    </row>
    <row r="34" spans="1:58">
      <c r="A34">
        <v>2977</v>
      </c>
      <c r="B34" t="s">
        <v>112</v>
      </c>
      <c r="C34" t="s">
        <v>86</v>
      </c>
      <c r="G34" s="23">
        <v>43668</v>
      </c>
      <c r="H34">
        <v>3</v>
      </c>
      <c r="I34">
        <v>2989</v>
      </c>
      <c r="J34">
        <v>8</v>
      </c>
      <c r="K34">
        <v>8</v>
      </c>
      <c r="L34">
        <v>7</v>
      </c>
      <c r="M34">
        <v>7</v>
      </c>
      <c r="N34">
        <v>0.79400000000000004</v>
      </c>
      <c r="O34">
        <v>0.79400000000000004</v>
      </c>
      <c r="P34">
        <v>0.69599999999999995</v>
      </c>
      <c r="Q34">
        <v>0.69599999999999995</v>
      </c>
      <c r="R34">
        <v>-123.2210693</v>
      </c>
      <c r="S34">
        <v>44.283321399999998</v>
      </c>
      <c r="T34">
        <v>7.5</v>
      </c>
      <c r="U34">
        <v>0.87470590000000004</v>
      </c>
      <c r="V34">
        <v>0</v>
      </c>
      <c r="W34">
        <v>482360.25</v>
      </c>
      <c r="X34">
        <v>4903365.5</v>
      </c>
      <c r="Y34">
        <v>0</v>
      </c>
      <c r="AA34">
        <v>4</v>
      </c>
      <c r="AB34">
        <v>0</v>
      </c>
      <c r="AC34">
        <v>0.40200000000000002</v>
      </c>
      <c r="AD34">
        <v>0</v>
      </c>
      <c r="AE34">
        <v>5</v>
      </c>
      <c r="AF34">
        <v>0</v>
      </c>
      <c r="AG34">
        <v>0.5</v>
      </c>
      <c r="AH34">
        <v>0</v>
      </c>
      <c r="AI34">
        <v>31.052177400000001</v>
      </c>
      <c r="AJ34">
        <v>1E-4</v>
      </c>
      <c r="AK34">
        <v>0</v>
      </c>
      <c r="AL34">
        <v>0.26420070000000001</v>
      </c>
      <c r="AM34">
        <v>1</v>
      </c>
      <c r="AN34">
        <v>1</v>
      </c>
      <c r="AO34">
        <v>140</v>
      </c>
      <c r="AP34">
        <v>140</v>
      </c>
      <c r="AQ34">
        <v>2989</v>
      </c>
      <c r="AR34">
        <v>755</v>
      </c>
      <c r="AS34">
        <v>2025</v>
      </c>
      <c r="AT34" s="23">
        <v>45797</v>
      </c>
      <c r="AU34" s="23" t="s">
        <v>29</v>
      </c>
      <c r="AV34">
        <v>0</v>
      </c>
      <c r="AW34">
        <v>482360.25</v>
      </c>
      <c r="AX34">
        <v>4903365.5</v>
      </c>
      <c r="AY34">
        <v>1256.63706143591</v>
      </c>
      <c r="AZ34">
        <v>125663.706143591</v>
      </c>
      <c r="BA34">
        <v>7.9580000000000004E-4</v>
      </c>
      <c r="BB34">
        <v>1.1140799999999999E-2</v>
      </c>
      <c r="BC34">
        <v>7.9580000000000004E-4</v>
      </c>
      <c r="BD34">
        <v>-0.2634049</v>
      </c>
      <c r="BE34">
        <v>-0.2530598</v>
      </c>
      <c r="BF34">
        <v>-0.2634049</v>
      </c>
    </row>
    <row r="35" spans="1:58">
      <c r="A35">
        <v>3102</v>
      </c>
      <c r="B35" t="s">
        <v>113</v>
      </c>
      <c r="C35" t="s">
        <v>114</v>
      </c>
      <c r="G35" s="23">
        <v>43668</v>
      </c>
      <c r="H35">
        <v>3</v>
      </c>
      <c r="I35">
        <v>3086</v>
      </c>
      <c r="J35">
        <v>8</v>
      </c>
      <c r="K35">
        <v>6</v>
      </c>
      <c r="L35">
        <v>6</v>
      </c>
      <c r="M35">
        <v>6</v>
      </c>
      <c r="N35">
        <v>0.79400000000000004</v>
      </c>
      <c r="O35">
        <v>0.59799999999999998</v>
      </c>
      <c r="P35">
        <v>0.59799999999999998</v>
      </c>
      <c r="Q35">
        <v>0.59799999999999998</v>
      </c>
      <c r="R35">
        <v>-123.2284241</v>
      </c>
      <c r="S35">
        <v>44.324188200000002</v>
      </c>
      <c r="T35">
        <v>6.5</v>
      </c>
      <c r="U35">
        <v>0.75941179999999997</v>
      </c>
      <c r="V35">
        <v>0</v>
      </c>
      <c r="W35">
        <v>481786.28125</v>
      </c>
      <c r="X35">
        <v>4907906</v>
      </c>
      <c r="Y35">
        <v>1</v>
      </c>
      <c r="Z35">
        <v>0</v>
      </c>
      <c r="AA35">
        <v>5</v>
      </c>
      <c r="AB35">
        <v>0</v>
      </c>
      <c r="AC35">
        <v>0.5</v>
      </c>
      <c r="AD35">
        <v>0</v>
      </c>
      <c r="AE35">
        <v>8</v>
      </c>
      <c r="AF35">
        <v>0.27836060000000001</v>
      </c>
      <c r="AG35">
        <v>0.79400000000000004</v>
      </c>
      <c r="AH35">
        <v>0</v>
      </c>
      <c r="AI35">
        <v>31.052177400000001</v>
      </c>
      <c r="AJ35">
        <v>1E-4</v>
      </c>
      <c r="AK35">
        <v>0</v>
      </c>
      <c r="AL35">
        <v>0.25958609999999999</v>
      </c>
      <c r="AM35">
        <v>1</v>
      </c>
      <c r="AN35">
        <v>1</v>
      </c>
      <c r="AO35">
        <v>132</v>
      </c>
      <c r="AP35">
        <v>132</v>
      </c>
      <c r="AQ35">
        <v>3086</v>
      </c>
      <c r="AR35">
        <v>747</v>
      </c>
      <c r="AS35">
        <v>2025</v>
      </c>
      <c r="AT35" s="23">
        <v>45797</v>
      </c>
      <c r="AU35" s="23" t="s">
        <v>29</v>
      </c>
      <c r="AV35">
        <v>0</v>
      </c>
      <c r="AW35">
        <v>481786.28</v>
      </c>
      <c r="AX35">
        <v>4907906</v>
      </c>
      <c r="AY35">
        <v>1256.63706143591</v>
      </c>
      <c r="AZ35">
        <v>125663.706143591</v>
      </c>
      <c r="BA35">
        <v>0.31382090000000001</v>
      </c>
      <c r="BB35">
        <v>0.327349</v>
      </c>
      <c r="BC35">
        <v>0.3437577</v>
      </c>
      <c r="BD35">
        <v>5.4234699999999997E-2</v>
      </c>
      <c r="BE35">
        <v>6.7762900000000001E-2</v>
      </c>
      <c r="BF35">
        <v>8.4171599999999999E-2</v>
      </c>
    </row>
    <row r="36" spans="1:58">
      <c r="A36">
        <v>3252</v>
      </c>
      <c r="B36" t="s">
        <v>115</v>
      </c>
      <c r="C36" t="s">
        <v>86</v>
      </c>
      <c r="G36" s="23">
        <v>43668</v>
      </c>
      <c r="H36">
        <v>3</v>
      </c>
      <c r="I36">
        <v>3197</v>
      </c>
      <c r="J36">
        <v>0</v>
      </c>
      <c r="K36">
        <v>0</v>
      </c>
      <c r="L36">
        <v>0</v>
      </c>
      <c r="M36">
        <v>0</v>
      </c>
      <c r="N36">
        <v>0.01</v>
      </c>
      <c r="O36">
        <v>0.01</v>
      </c>
      <c r="P36">
        <v>0.01</v>
      </c>
      <c r="Q36">
        <v>0.01</v>
      </c>
      <c r="R36">
        <v>-123.2678909</v>
      </c>
      <c r="S36">
        <v>44.737110100000002</v>
      </c>
      <c r="T36">
        <v>0</v>
      </c>
      <c r="U36">
        <v>0.01</v>
      </c>
      <c r="V36">
        <v>0</v>
      </c>
      <c r="W36">
        <v>478789.96875</v>
      </c>
      <c r="X36">
        <v>4953782</v>
      </c>
      <c r="Y36">
        <v>0</v>
      </c>
      <c r="AA36">
        <v>3</v>
      </c>
      <c r="AB36">
        <v>0</v>
      </c>
      <c r="AC36">
        <v>0.30399999999999999</v>
      </c>
      <c r="AD36">
        <v>0</v>
      </c>
      <c r="AE36">
        <v>8</v>
      </c>
      <c r="AF36">
        <v>9.9937300000000007E-2</v>
      </c>
      <c r="AG36">
        <v>0.79400000000000004</v>
      </c>
      <c r="AH36">
        <v>0</v>
      </c>
      <c r="AI36">
        <v>31.052177400000001</v>
      </c>
      <c r="AJ36">
        <v>2.09593E-2</v>
      </c>
      <c r="AK36">
        <v>0</v>
      </c>
      <c r="AL36">
        <v>0.59351699999999996</v>
      </c>
      <c r="AM36">
        <v>1</v>
      </c>
      <c r="AN36">
        <v>1</v>
      </c>
      <c r="AO36">
        <v>5</v>
      </c>
      <c r="AP36">
        <v>5</v>
      </c>
      <c r="AQ36">
        <v>3197</v>
      </c>
      <c r="AR36">
        <v>710</v>
      </c>
      <c r="AS36">
        <v>2025</v>
      </c>
      <c r="AT36" s="23">
        <v>45797</v>
      </c>
      <c r="AU36" s="23" t="s">
        <v>29</v>
      </c>
      <c r="AV36">
        <v>1</v>
      </c>
      <c r="AW36">
        <v>478789.96</v>
      </c>
      <c r="AX36">
        <v>4953782</v>
      </c>
      <c r="AY36">
        <v>1256.63706143591</v>
      </c>
      <c r="AZ36">
        <v>125663.706143591</v>
      </c>
      <c r="BA36">
        <v>7.9580000000000004E-4</v>
      </c>
      <c r="BB36">
        <v>7.9580000000000004E-4</v>
      </c>
      <c r="BC36">
        <v>0</v>
      </c>
      <c r="BD36">
        <v>-0.59272119999999995</v>
      </c>
      <c r="BE36">
        <v>-0.59272119999999995</v>
      </c>
      <c r="BF36">
        <v>-0.59351699999999996</v>
      </c>
    </row>
    <row r="37" spans="1:58">
      <c r="A37">
        <v>4017</v>
      </c>
      <c r="B37" t="s">
        <v>116</v>
      </c>
      <c r="C37" t="s">
        <v>88</v>
      </c>
      <c r="G37" s="23">
        <v>43668</v>
      </c>
      <c r="H37">
        <v>3</v>
      </c>
      <c r="I37">
        <v>3791</v>
      </c>
      <c r="J37">
        <v>5</v>
      </c>
      <c r="K37">
        <v>6</v>
      </c>
      <c r="L37">
        <v>5</v>
      </c>
      <c r="M37">
        <v>6</v>
      </c>
      <c r="N37">
        <v>0.5</v>
      </c>
      <c r="O37">
        <v>0.59799999999999998</v>
      </c>
      <c r="P37">
        <v>0.5</v>
      </c>
      <c r="Q37">
        <v>0.59799999999999998</v>
      </c>
      <c r="R37">
        <v>-123.239296</v>
      </c>
      <c r="S37">
        <v>44.519737200000002</v>
      </c>
      <c r="T37">
        <v>5.5</v>
      </c>
      <c r="U37">
        <v>0.64411770000000002</v>
      </c>
      <c r="V37">
        <v>0</v>
      </c>
      <c r="W37">
        <v>480982.65625</v>
      </c>
      <c r="X37">
        <v>4929629.5</v>
      </c>
      <c r="Y37">
        <v>0</v>
      </c>
      <c r="AA37">
        <v>4</v>
      </c>
      <c r="AB37">
        <v>0</v>
      </c>
      <c r="AC37">
        <v>0.40200000000000002</v>
      </c>
      <c r="AD37">
        <v>1</v>
      </c>
      <c r="AE37">
        <v>4</v>
      </c>
      <c r="AF37">
        <v>0</v>
      </c>
      <c r="AG37">
        <v>0.40200000000000002</v>
      </c>
      <c r="AH37">
        <v>0</v>
      </c>
      <c r="AI37">
        <v>31.052177400000001</v>
      </c>
      <c r="AJ37">
        <v>1E-4</v>
      </c>
      <c r="AK37">
        <v>0</v>
      </c>
      <c r="AL37">
        <v>0.27734130000000001</v>
      </c>
      <c r="AM37">
        <v>1</v>
      </c>
      <c r="AN37">
        <v>1</v>
      </c>
      <c r="AO37">
        <v>138</v>
      </c>
      <c r="AP37">
        <v>138</v>
      </c>
      <c r="AQ37">
        <v>3791</v>
      </c>
      <c r="AR37">
        <v>753</v>
      </c>
      <c r="AS37">
        <v>2025</v>
      </c>
      <c r="AT37" s="23">
        <v>45797</v>
      </c>
      <c r="AU37" s="23" t="s">
        <v>29</v>
      </c>
      <c r="AV37">
        <v>0</v>
      </c>
      <c r="AW37">
        <v>480982.65</v>
      </c>
      <c r="AX37">
        <v>4929629.5</v>
      </c>
      <c r="AY37">
        <v>1256.63706143591</v>
      </c>
      <c r="AZ37">
        <v>125663.706143591</v>
      </c>
      <c r="BA37">
        <v>0.31448379999999998</v>
      </c>
      <c r="BB37">
        <v>0.3270593</v>
      </c>
      <c r="BC37">
        <v>7.9580000000000004E-4</v>
      </c>
      <c r="BD37">
        <v>3.7142399999999999E-2</v>
      </c>
      <c r="BE37">
        <v>4.9717999999999998E-2</v>
      </c>
      <c r="BF37">
        <v>-0.2765456</v>
      </c>
    </row>
    <row r="38" spans="1:58">
      <c r="A38">
        <v>4281</v>
      </c>
      <c r="B38" t="s">
        <v>117</v>
      </c>
      <c r="C38" t="s">
        <v>86</v>
      </c>
      <c r="G38" s="23">
        <v>43668</v>
      </c>
      <c r="H38">
        <v>3</v>
      </c>
      <c r="I38">
        <v>3988</v>
      </c>
      <c r="J38">
        <v>8</v>
      </c>
      <c r="K38">
        <v>8</v>
      </c>
      <c r="L38">
        <v>7</v>
      </c>
      <c r="M38">
        <v>8</v>
      </c>
      <c r="N38">
        <v>0.79400000000000004</v>
      </c>
      <c r="O38">
        <v>0.79400000000000004</v>
      </c>
      <c r="P38">
        <v>0.69599999999999995</v>
      </c>
      <c r="Q38">
        <v>0.79400000000000004</v>
      </c>
      <c r="R38">
        <v>-123.2402039</v>
      </c>
      <c r="S38">
        <v>44.302242300000003</v>
      </c>
      <c r="T38">
        <v>7.75</v>
      </c>
      <c r="U38">
        <v>0.90352940000000004</v>
      </c>
      <c r="V38">
        <v>9.5208100000000004E-2</v>
      </c>
      <c r="W38">
        <v>480839.65625</v>
      </c>
      <c r="X38">
        <v>4905471</v>
      </c>
      <c r="Y38">
        <v>0</v>
      </c>
      <c r="AA38">
        <v>7</v>
      </c>
      <c r="AB38">
        <v>0.1468159</v>
      </c>
      <c r="AC38">
        <v>0.69599999999999995</v>
      </c>
      <c r="AD38">
        <v>0</v>
      </c>
      <c r="AE38">
        <v>7</v>
      </c>
      <c r="AF38">
        <v>9.1584899999999997E-2</v>
      </c>
      <c r="AG38">
        <v>0.69599999999999995</v>
      </c>
      <c r="AH38">
        <v>0</v>
      </c>
      <c r="AI38">
        <v>31.052177400000001</v>
      </c>
      <c r="AJ38">
        <v>6.1130999999999998E-3</v>
      </c>
      <c r="AK38">
        <v>0</v>
      </c>
      <c r="AL38">
        <v>0.44041720000000001</v>
      </c>
      <c r="AM38">
        <v>1</v>
      </c>
      <c r="AN38">
        <v>1</v>
      </c>
      <c r="AO38">
        <v>139</v>
      </c>
      <c r="AP38">
        <v>139</v>
      </c>
      <c r="AQ38">
        <v>3988</v>
      </c>
      <c r="AR38">
        <v>754</v>
      </c>
      <c r="AS38">
        <v>2025</v>
      </c>
      <c r="AT38" s="23">
        <v>45797</v>
      </c>
      <c r="AU38" s="23" t="s">
        <v>29</v>
      </c>
      <c r="AV38">
        <v>0</v>
      </c>
      <c r="AW38">
        <v>480839.65</v>
      </c>
      <c r="AX38">
        <v>4905471</v>
      </c>
      <c r="AY38">
        <v>1256.63706143591</v>
      </c>
      <c r="AZ38">
        <v>125663.706143591</v>
      </c>
      <c r="BA38">
        <v>0.4253884</v>
      </c>
      <c r="BB38">
        <v>0.41663489999999997</v>
      </c>
      <c r="BC38">
        <v>7.9580000000000004E-4</v>
      </c>
      <c r="BD38">
        <v>-1.50288E-2</v>
      </c>
      <c r="BE38">
        <v>-2.3782299999999999E-2</v>
      </c>
      <c r="BF38">
        <v>-0.4396214</v>
      </c>
    </row>
    <row r="39" spans="1:58">
      <c r="A39">
        <v>4590</v>
      </c>
      <c r="B39" t="s">
        <v>97</v>
      </c>
      <c r="C39" t="s">
        <v>98</v>
      </c>
      <c r="D39" t="s">
        <v>99</v>
      </c>
      <c r="G39" s="23">
        <v>43668</v>
      </c>
      <c r="H39">
        <v>3</v>
      </c>
      <c r="I39">
        <v>4195</v>
      </c>
      <c r="J39">
        <v>8</v>
      </c>
      <c r="K39">
        <v>8</v>
      </c>
      <c r="L39">
        <v>8</v>
      </c>
      <c r="M39">
        <v>5</v>
      </c>
      <c r="N39">
        <v>0.79400000000000004</v>
      </c>
      <c r="O39">
        <v>0.79400000000000004</v>
      </c>
      <c r="P39">
        <v>0.79400000000000004</v>
      </c>
      <c r="Q39">
        <v>0.5</v>
      </c>
      <c r="R39">
        <v>-123.2737961</v>
      </c>
      <c r="S39">
        <v>44.470222499999998</v>
      </c>
      <c r="T39">
        <v>7.25</v>
      </c>
      <c r="U39">
        <v>0.84588240000000003</v>
      </c>
      <c r="V39">
        <v>0</v>
      </c>
      <c r="W39">
        <v>478222.46875</v>
      </c>
      <c r="X39">
        <v>4924138</v>
      </c>
      <c r="Y39">
        <v>0</v>
      </c>
      <c r="AA39">
        <v>4</v>
      </c>
      <c r="AB39">
        <v>0</v>
      </c>
      <c r="AC39">
        <v>0.40200000000000002</v>
      </c>
      <c r="AD39">
        <v>0</v>
      </c>
      <c r="AE39">
        <v>5</v>
      </c>
      <c r="AF39">
        <v>0</v>
      </c>
      <c r="AG39">
        <v>0.5</v>
      </c>
      <c r="AH39">
        <v>0</v>
      </c>
      <c r="AI39">
        <v>31.052177400000001</v>
      </c>
      <c r="AJ39">
        <v>1E-4</v>
      </c>
      <c r="AK39">
        <v>0</v>
      </c>
      <c r="AL39">
        <v>0.34098909999999999</v>
      </c>
      <c r="AM39">
        <v>1</v>
      </c>
      <c r="AN39">
        <v>1</v>
      </c>
      <c r="AO39">
        <v>135</v>
      </c>
      <c r="AP39">
        <v>135</v>
      </c>
      <c r="AQ39">
        <v>4195</v>
      </c>
      <c r="AR39">
        <v>750</v>
      </c>
      <c r="AS39">
        <v>2025</v>
      </c>
      <c r="AT39" s="23">
        <v>45797</v>
      </c>
      <c r="AU39" s="23" t="s">
        <v>29</v>
      </c>
      <c r="AV39">
        <v>0</v>
      </c>
      <c r="AW39">
        <v>478222.46</v>
      </c>
      <c r="AX39">
        <v>4924138</v>
      </c>
      <c r="AY39">
        <v>1256.63706143591</v>
      </c>
      <c r="AZ39">
        <v>125663.706143591</v>
      </c>
      <c r="BA39">
        <v>0.30766890000000002</v>
      </c>
      <c r="BB39">
        <v>7.9580000000000004E-4</v>
      </c>
      <c r="BC39">
        <v>0</v>
      </c>
      <c r="BD39">
        <v>-3.3320200000000001E-2</v>
      </c>
      <c r="BE39">
        <v>-0.34019329999999998</v>
      </c>
      <c r="BF39">
        <v>-0.34098909999999999</v>
      </c>
    </row>
    <row r="40" spans="1:58">
      <c r="A40">
        <v>4591</v>
      </c>
      <c r="B40" t="s">
        <v>97</v>
      </c>
      <c r="C40" t="s">
        <v>98</v>
      </c>
      <c r="D40" t="s">
        <v>99</v>
      </c>
      <c r="G40" s="23">
        <v>43668</v>
      </c>
      <c r="H40">
        <v>3</v>
      </c>
      <c r="I40">
        <v>4196</v>
      </c>
      <c r="J40">
        <v>5</v>
      </c>
      <c r="K40">
        <v>6</v>
      </c>
      <c r="L40">
        <v>8</v>
      </c>
      <c r="M40">
        <v>7</v>
      </c>
      <c r="N40">
        <v>0.5</v>
      </c>
      <c r="O40">
        <v>0.59799999999999998</v>
      </c>
      <c r="P40">
        <v>0.79400000000000004</v>
      </c>
      <c r="Q40">
        <v>0.69599999999999995</v>
      </c>
      <c r="R40">
        <v>-123.2743988</v>
      </c>
      <c r="S40">
        <v>44.464385999999998</v>
      </c>
      <c r="T40">
        <v>6.5</v>
      </c>
      <c r="U40">
        <v>0.75941179999999997</v>
      </c>
      <c r="V40">
        <v>0</v>
      </c>
      <c r="W40">
        <v>478172.46875</v>
      </c>
      <c r="X40">
        <v>4923490</v>
      </c>
      <c r="Y40">
        <v>0</v>
      </c>
      <c r="AA40">
        <v>4</v>
      </c>
      <c r="AB40">
        <v>0</v>
      </c>
      <c r="AC40">
        <v>0.40200000000000002</v>
      </c>
      <c r="AD40">
        <v>0</v>
      </c>
      <c r="AE40">
        <v>3</v>
      </c>
      <c r="AF40">
        <v>0</v>
      </c>
      <c r="AG40">
        <v>0.30399999999999999</v>
      </c>
      <c r="AH40">
        <v>0</v>
      </c>
      <c r="AI40">
        <v>31.052177400000001</v>
      </c>
      <c r="AJ40">
        <v>1E-4</v>
      </c>
      <c r="AK40">
        <v>0</v>
      </c>
      <c r="AL40">
        <v>0.80891690000000005</v>
      </c>
      <c r="AM40">
        <v>1</v>
      </c>
      <c r="AN40">
        <v>1</v>
      </c>
      <c r="AO40">
        <v>136</v>
      </c>
      <c r="AP40">
        <v>136</v>
      </c>
      <c r="AQ40">
        <v>4196</v>
      </c>
      <c r="AR40">
        <v>751</v>
      </c>
      <c r="AS40">
        <v>2025</v>
      </c>
      <c r="AT40" s="23">
        <v>45797</v>
      </c>
      <c r="AU40" s="23" t="s">
        <v>29</v>
      </c>
      <c r="AV40">
        <v>0</v>
      </c>
      <c r="AW40">
        <v>478172.46</v>
      </c>
      <c r="AX40">
        <v>4923490</v>
      </c>
      <c r="AY40">
        <v>1256.63706143591</v>
      </c>
      <c r="AZ40">
        <v>125663.706143591</v>
      </c>
      <c r="BA40">
        <v>7.9580000000000004E-4</v>
      </c>
      <c r="BB40">
        <v>1.5915E-3</v>
      </c>
      <c r="BC40">
        <v>7.9270000000000002E-4</v>
      </c>
      <c r="BD40">
        <v>-0.80812110000000004</v>
      </c>
      <c r="BE40">
        <v>-0.80732539999999997</v>
      </c>
      <c r="BF40">
        <v>-0.80812419999999996</v>
      </c>
    </row>
    <row r="41" spans="1:58">
      <c r="A41">
        <v>4592</v>
      </c>
      <c r="B41" t="s">
        <v>97</v>
      </c>
      <c r="C41" t="s">
        <v>98</v>
      </c>
      <c r="D41" t="s">
        <v>99</v>
      </c>
      <c r="G41" s="23">
        <v>43668</v>
      </c>
      <c r="H41">
        <v>3</v>
      </c>
      <c r="I41">
        <v>4197</v>
      </c>
      <c r="J41">
        <v>6</v>
      </c>
      <c r="K41">
        <v>6</v>
      </c>
      <c r="L41">
        <v>8</v>
      </c>
      <c r="M41">
        <v>7</v>
      </c>
      <c r="N41">
        <v>0.59799999999999998</v>
      </c>
      <c r="O41">
        <v>0.59799999999999998</v>
      </c>
      <c r="P41">
        <v>0.79400000000000004</v>
      </c>
      <c r="Q41">
        <v>0.69599999999999995</v>
      </c>
      <c r="R41">
        <v>-123.2750015</v>
      </c>
      <c r="S41">
        <v>44.458549499999997</v>
      </c>
      <c r="T41">
        <v>6.75</v>
      </c>
      <c r="U41">
        <v>0.78823529999999997</v>
      </c>
      <c r="V41">
        <v>5.4460000000000001E-4</v>
      </c>
      <c r="W41">
        <v>478122.78125</v>
      </c>
      <c r="X41">
        <v>4922842</v>
      </c>
      <c r="Y41">
        <v>0</v>
      </c>
      <c r="AA41">
        <v>4</v>
      </c>
      <c r="AB41">
        <v>0</v>
      </c>
      <c r="AC41">
        <v>0.40200000000000002</v>
      </c>
      <c r="AD41">
        <v>0</v>
      </c>
      <c r="AE41">
        <v>4</v>
      </c>
      <c r="AF41">
        <v>0</v>
      </c>
      <c r="AG41">
        <v>0.40200000000000002</v>
      </c>
      <c r="AH41">
        <v>0</v>
      </c>
      <c r="AI41">
        <v>31.052177400000001</v>
      </c>
      <c r="AJ41">
        <v>0.27111859999999999</v>
      </c>
      <c r="AK41">
        <v>1</v>
      </c>
      <c r="AL41">
        <v>0.33212999999999998</v>
      </c>
      <c r="AM41">
        <v>1</v>
      </c>
      <c r="AN41">
        <v>1</v>
      </c>
      <c r="AO41">
        <v>133</v>
      </c>
      <c r="AP41">
        <v>133</v>
      </c>
      <c r="AQ41">
        <v>4197</v>
      </c>
      <c r="AR41">
        <v>748</v>
      </c>
      <c r="AS41">
        <v>2025</v>
      </c>
      <c r="AT41" s="23">
        <v>45797</v>
      </c>
      <c r="AU41" s="23" t="s">
        <v>29</v>
      </c>
      <c r="AV41">
        <v>0</v>
      </c>
      <c r="AW41">
        <v>478122.78</v>
      </c>
      <c r="AX41">
        <v>4922842</v>
      </c>
      <c r="AY41">
        <v>1256.63706143591</v>
      </c>
      <c r="AZ41">
        <v>125663.706143591</v>
      </c>
      <c r="BA41">
        <v>7.9580000000000004E-4</v>
      </c>
      <c r="BB41">
        <v>1.5915E-3</v>
      </c>
      <c r="BC41">
        <v>7.9580000000000004E-4</v>
      </c>
      <c r="BD41">
        <v>-0.33133420000000002</v>
      </c>
      <c r="BE41">
        <v>-0.33053850000000001</v>
      </c>
      <c r="BF41">
        <v>-0.33133420000000002</v>
      </c>
    </row>
    <row r="42" spans="1:58">
      <c r="A42">
        <v>4699</v>
      </c>
      <c r="B42" t="s">
        <v>118</v>
      </c>
      <c r="C42" t="s">
        <v>119</v>
      </c>
      <c r="G42" s="23">
        <v>43668</v>
      </c>
      <c r="H42">
        <v>3</v>
      </c>
      <c r="I42">
        <v>4273</v>
      </c>
      <c r="J42">
        <v>6</v>
      </c>
      <c r="K42">
        <v>8</v>
      </c>
      <c r="L42">
        <v>4</v>
      </c>
      <c r="M42">
        <v>6</v>
      </c>
      <c r="N42">
        <v>0.59799999999999998</v>
      </c>
      <c r="O42">
        <v>0.79400000000000004</v>
      </c>
      <c r="P42">
        <v>0.40200000000000002</v>
      </c>
      <c r="Q42">
        <v>0.59799999999999998</v>
      </c>
      <c r="R42">
        <v>-123.26505280000001</v>
      </c>
      <c r="S42">
        <v>44.475711799999999</v>
      </c>
      <c r="T42">
        <v>6</v>
      </c>
      <c r="U42">
        <v>0.70176470000000002</v>
      </c>
      <c r="V42">
        <v>0</v>
      </c>
      <c r="W42">
        <v>478920.21875</v>
      </c>
      <c r="X42">
        <v>4924745.5</v>
      </c>
      <c r="Y42">
        <v>0</v>
      </c>
      <c r="AA42">
        <v>4</v>
      </c>
      <c r="AB42">
        <v>0</v>
      </c>
      <c r="AC42">
        <v>0.40200000000000002</v>
      </c>
      <c r="AD42">
        <v>0</v>
      </c>
      <c r="AE42">
        <v>4</v>
      </c>
      <c r="AF42">
        <v>0</v>
      </c>
      <c r="AG42">
        <v>0.40200000000000002</v>
      </c>
      <c r="AH42">
        <v>0</v>
      </c>
      <c r="AI42">
        <v>31.052177400000001</v>
      </c>
      <c r="AJ42">
        <v>0.30423250000000002</v>
      </c>
      <c r="AK42">
        <v>1</v>
      </c>
      <c r="AL42">
        <v>0.34875080000000003</v>
      </c>
      <c r="AM42">
        <v>1</v>
      </c>
      <c r="AN42">
        <v>1</v>
      </c>
      <c r="AO42">
        <v>137</v>
      </c>
      <c r="AP42">
        <v>137</v>
      </c>
      <c r="AQ42">
        <v>4273</v>
      </c>
      <c r="AR42">
        <v>752</v>
      </c>
      <c r="AS42">
        <v>2025</v>
      </c>
      <c r="AT42" s="23">
        <v>45797</v>
      </c>
      <c r="AU42" s="23" t="s">
        <v>29</v>
      </c>
      <c r="AV42">
        <v>0</v>
      </c>
      <c r="AW42">
        <v>478920.21</v>
      </c>
      <c r="AX42">
        <v>4924745.5</v>
      </c>
      <c r="AY42">
        <v>1256.63706143591</v>
      </c>
      <c r="AZ42">
        <v>125663.706143591</v>
      </c>
      <c r="BA42">
        <v>9.4222999999999998E-3</v>
      </c>
      <c r="BB42">
        <v>1.5915E-3</v>
      </c>
      <c r="BC42">
        <v>2.3873000000000002E-3</v>
      </c>
      <c r="BD42">
        <v>-0.33932859999999998</v>
      </c>
      <c r="BE42">
        <v>-0.3471593</v>
      </c>
      <c r="BF42">
        <v>-0.34636349999999999</v>
      </c>
    </row>
    <row r="43" spans="1:58">
      <c r="A43">
        <v>4776</v>
      </c>
      <c r="B43" t="s">
        <v>120</v>
      </c>
      <c r="C43" t="s">
        <v>98</v>
      </c>
      <c r="G43" s="23">
        <v>43668</v>
      </c>
      <c r="H43">
        <v>3</v>
      </c>
      <c r="I43">
        <v>4329</v>
      </c>
      <c r="J43">
        <v>0</v>
      </c>
      <c r="K43">
        <v>0</v>
      </c>
      <c r="L43">
        <v>0</v>
      </c>
      <c r="M43">
        <v>0</v>
      </c>
      <c r="N43">
        <v>0.01</v>
      </c>
      <c r="O43">
        <v>0.01</v>
      </c>
      <c r="P43">
        <v>0.01</v>
      </c>
      <c r="Q43">
        <v>0.01</v>
      </c>
      <c r="R43">
        <v>-123.36823269999999</v>
      </c>
      <c r="S43">
        <v>44.835708599999997</v>
      </c>
      <c r="T43">
        <v>0</v>
      </c>
      <c r="U43">
        <v>0.01</v>
      </c>
      <c r="V43">
        <v>0</v>
      </c>
      <c r="W43">
        <v>470894.90625</v>
      </c>
      <c r="X43">
        <v>4964766</v>
      </c>
      <c r="Y43">
        <v>0</v>
      </c>
      <c r="AA43">
        <v>4</v>
      </c>
      <c r="AB43">
        <v>0</v>
      </c>
      <c r="AC43">
        <v>0.40200000000000002</v>
      </c>
      <c r="AD43">
        <v>0</v>
      </c>
      <c r="AE43">
        <v>7</v>
      </c>
      <c r="AF43">
        <v>0.18873139999999999</v>
      </c>
      <c r="AG43">
        <v>0.69599999999999995</v>
      </c>
      <c r="AH43">
        <v>0</v>
      </c>
      <c r="AI43">
        <v>31.052177400000001</v>
      </c>
      <c r="AJ43">
        <v>0.14624570000000001</v>
      </c>
      <c r="AK43">
        <v>1</v>
      </c>
      <c r="AL43">
        <v>0.31141069999999998</v>
      </c>
      <c r="AM43">
        <v>1</v>
      </c>
      <c r="AN43">
        <v>1</v>
      </c>
      <c r="AO43">
        <v>3</v>
      </c>
      <c r="AP43">
        <v>3</v>
      </c>
      <c r="AQ43">
        <v>4329</v>
      </c>
      <c r="AR43">
        <v>708</v>
      </c>
      <c r="AS43">
        <v>2025</v>
      </c>
      <c r="AT43" s="23">
        <v>45797</v>
      </c>
      <c r="AU43" s="23" t="s">
        <v>29</v>
      </c>
      <c r="AV43">
        <v>0</v>
      </c>
      <c r="AW43">
        <v>470894.9</v>
      </c>
      <c r="AX43">
        <v>4964766</v>
      </c>
      <c r="AY43">
        <v>1256.63706143591</v>
      </c>
      <c r="AZ43">
        <v>125663.706143591</v>
      </c>
      <c r="BA43">
        <v>0.30483870000000002</v>
      </c>
      <c r="BB43">
        <v>0.30165570000000003</v>
      </c>
      <c r="BC43">
        <v>0.32383689999999998</v>
      </c>
      <c r="BD43">
        <v>-6.5719999999999997E-3</v>
      </c>
      <c r="BE43">
        <v>-9.7550999999999992E-3</v>
      </c>
      <c r="BF43">
        <v>1.2426100000000001E-2</v>
      </c>
    </row>
    <row r="44" spans="1:58">
      <c r="A44">
        <v>4777</v>
      </c>
      <c r="B44" t="s">
        <v>120</v>
      </c>
      <c r="C44" t="s">
        <v>98</v>
      </c>
      <c r="G44" s="23">
        <v>43668</v>
      </c>
      <c r="H44">
        <v>3</v>
      </c>
      <c r="I44">
        <v>4330</v>
      </c>
      <c r="J44">
        <v>0</v>
      </c>
      <c r="K44">
        <v>0</v>
      </c>
      <c r="L44">
        <v>0</v>
      </c>
      <c r="M44">
        <v>0</v>
      </c>
      <c r="N44">
        <v>0.01</v>
      </c>
      <c r="O44">
        <v>0.01</v>
      </c>
      <c r="P44">
        <v>0.01</v>
      </c>
      <c r="Q44">
        <v>0.01</v>
      </c>
      <c r="R44">
        <v>-123.3738556</v>
      </c>
      <c r="S44">
        <v>44.831440000000001</v>
      </c>
      <c r="T44">
        <v>0</v>
      </c>
      <c r="U44">
        <v>0.01</v>
      </c>
      <c r="V44">
        <v>0</v>
      </c>
      <c r="W44">
        <v>470448.28125</v>
      </c>
      <c r="X44">
        <v>4964294</v>
      </c>
      <c r="Y44">
        <v>0</v>
      </c>
      <c r="AA44">
        <v>6</v>
      </c>
      <c r="AB44">
        <v>8.6508000000000002E-3</v>
      </c>
      <c r="AC44">
        <v>0.59799999999999998</v>
      </c>
      <c r="AD44">
        <v>0</v>
      </c>
      <c r="AE44">
        <v>6</v>
      </c>
      <c r="AF44">
        <v>5.7222000000000002E-3</v>
      </c>
      <c r="AG44">
        <v>0.59799999999999998</v>
      </c>
      <c r="AH44">
        <v>0</v>
      </c>
      <c r="AI44">
        <v>31.052177400000001</v>
      </c>
      <c r="AJ44">
        <v>1E-4</v>
      </c>
      <c r="AK44">
        <v>0</v>
      </c>
      <c r="AL44">
        <v>0.30843379999999998</v>
      </c>
      <c r="AM44">
        <v>1</v>
      </c>
      <c r="AN44">
        <v>1</v>
      </c>
      <c r="AO44">
        <v>4</v>
      </c>
      <c r="AP44">
        <v>4</v>
      </c>
      <c r="AQ44">
        <v>4330</v>
      </c>
      <c r="AR44">
        <v>709</v>
      </c>
      <c r="AS44">
        <v>2025</v>
      </c>
      <c r="AT44" s="23">
        <v>45797</v>
      </c>
      <c r="AU44" s="23" t="s">
        <v>29</v>
      </c>
      <c r="AV44">
        <v>0</v>
      </c>
      <c r="AW44">
        <v>470448.28</v>
      </c>
      <c r="AX44">
        <v>4964294</v>
      </c>
      <c r="AY44">
        <v>1256.63706143591</v>
      </c>
      <c r="AZ44">
        <v>125663.706143591</v>
      </c>
      <c r="BA44">
        <v>0.30953530000000001</v>
      </c>
      <c r="BB44">
        <v>0.33073259999999999</v>
      </c>
      <c r="BC44">
        <v>0.37562570000000001</v>
      </c>
      <c r="BD44">
        <v>1.1015E-3</v>
      </c>
      <c r="BE44">
        <v>2.2298800000000001E-2</v>
      </c>
      <c r="BF44">
        <v>6.7192000000000002E-2</v>
      </c>
    </row>
    <row r="45" spans="1:58">
      <c r="A45">
        <v>4985</v>
      </c>
      <c r="B45" t="s">
        <v>118</v>
      </c>
      <c r="C45" t="s">
        <v>119</v>
      </c>
      <c r="G45" s="23">
        <v>43668</v>
      </c>
      <c r="H45">
        <v>3</v>
      </c>
      <c r="I45">
        <v>4492</v>
      </c>
      <c r="J45">
        <v>7</v>
      </c>
      <c r="K45">
        <v>5</v>
      </c>
      <c r="L45">
        <v>5</v>
      </c>
      <c r="M45">
        <v>8</v>
      </c>
      <c r="N45">
        <v>0.69599999999999995</v>
      </c>
      <c r="O45">
        <v>0.5</v>
      </c>
      <c r="P45">
        <v>0.5</v>
      </c>
      <c r="Q45">
        <v>0.79400000000000004</v>
      </c>
      <c r="R45">
        <v>-123.26013949999999</v>
      </c>
      <c r="S45">
        <v>44.447532699999996</v>
      </c>
      <c r="T45">
        <v>6.25</v>
      </c>
      <c r="U45">
        <v>0.73058829999999997</v>
      </c>
      <c r="V45">
        <v>0.14613390000000001</v>
      </c>
      <c r="W45">
        <v>479301.03125</v>
      </c>
      <c r="X45">
        <v>4921614</v>
      </c>
      <c r="Y45">
        <v>1</v>
      </c>
      <c r="Z45">
        <v>0</v>
      </c>
      <c r="AA45">
        <v>3</v>
      </c>
      <c r="AB45">
        <v>0</v>
      </c>
      <c r="AC45">
        <v>0.30399999999999999</v>
      </c>
      <c r="AD45">
        <v>0</v>
      </c>
      <c r="AE45">
        <v>7</v>
      </c>
      <c r="AF45">
        <v>0.13397290000000001</v>
      </c>
      <c r="AG45">
        <v>0.69599999999999995</v>
      </c>
      <c r="AH45">
        <v>0</v>
      </c>
      <c r="AI45">
        <v>31.052177400000001</v>
      </c>
      <c r="AJ45">
        <v>0.2423824</v>
      </c>
      <c r="AK45">
        <v>1</v>
      </c>
      <c r="AL45">
        <v>0.3249319</v>
      </c>
      <c r="AM45">
        <v>1</v>
      </c>
      <c r="AN45">
        <v>1</v>
      </c>
      <c r="AO45">
        <v>131</v>
      </c>
      <c r="AP45">
        <v>131</v>
      </c>
      <c r="AQ45">
        <v>4492</v>
      </c>
      <c r="AR45">
        <v>746</v>
      </c>
      <c r="AS45">
        <v>2025</v>
      </c>
      <c r="AT45" s="23">
        <v>45797</v>
      </c>
      <c r="AU45" s="23" t="s">
        <v>29</v>
      </c>
      <c r="AV45">
        <v>0</v>
      </c>
      <c r="AW45">
        <v>479301.03</v>
      </c>
      <c r="AX45">
        <v>4921614</v>
      </c>
      <c r="AY45">
        <v>1256.63706143591</v>
      </c>
      <c r="AZ45">
        <v>125663.706143591</v>
      </c>
      <c r="BA45">
        <v>0.43845299999999998</v>
      </c>
      <c r="BB45">
        <v>0.44600529999999999</v>
      </c>
      <c r="BC45">
        <v>0.45396110000000001</v>
      </c>
      <c r="BD45">
        <v>0.1135211</v>
      </c>
      <c r="BE45">
        <v>0.1210734</v>
      </c>
      <c r="BF45">
        <v>0.12902920000000001</v>
      </c>
    </row>
    <row r="46" spans="1:58">
      <c r="A46">
        <v>4986</v>
      </c>
      <c r="B46" t="s">
        <v>118</v>
      </c>
      <c r="C46" t="s">
        <v>119</v>
      </c>
      <c r="G46" s="23">
        <v>43668</v>
      </c>
      <c r="H46">
        <v>3</v>
      </c>
      <c r="I46">
        <v>4493</v>
      </c>
      <c r="J46">
        <v>7</v>
      </c>
      <c r="K46">
        <v>7</v>
      </c>
      <c r="L46">
        <v>6</v>
      </c>
      <c r="M46">
        <v>8</v>
      </c>
      <c r="N46">
        <v>0.69599999999999995</v>
      </c>
      <c r="O46">
        <v>0.69599999999999995</v>
      </c>
      <c r="P46">
        <v>0.59799999999999998</v>
      </c>
      <c r="Q46">
        <v>0.79400000000000004</v>
      </c>
      <c r="R46">
        <v>-123.2683105</v>
      </c>
      <c r="S46">
        <v>44.4475555</v>
      </c>
      <c r="T46">
        <v>7</v>
      </c>
      <c r="U46">
        <v>0.81705879999999997</v>
      </c>
      <c r="V46">
        <v>0.27362619999999999</v>
      </c>
      <c r="W46">
        <v>478651.03125</v>
      </c>
      <c r="X46">
        <v>4921619</v>
      </c>
      <c r="Y46">
        <v>0</v>
      </c>
      <c r="AA46">
        <v>8</v>
      </c>
      <c r="AB46">
        <v>1.8728100000000001E-2</v>
      </c>
      <c r="AC46">
        <v>0.79400000000000004</v>
      </c>
      <c r="AD46">
        <v>0</v>
      </c>
      <c r="AE46">
        <v>8</v>
      </c>
      <c r="AF46">
        <v>0.39356439999999998</v>
      </c>
      <c r="AG46">
        <v>0.79400000000000004</v>
      </c>
      <c r="AH46">
        <v>1</v>
      </c>
      <c r="AI46">
        <v>31.052177400000001</v>
      </c>
      <c r="AJ46">
        <v>0.30975249999999999</v>
      </c>
      <c r="AK46">
        <v>1</v>
      </c>
      <c r="AL46">
        <v>0.58926889999999998</v>
      </c>
      <c r="AM46">
        <v>1</v>
      </c>
      <c r="AN46">
        <v>1</v>
      </c>
      <c r="AO46">
        <v>134</v>
      </c>
      <c r="AP46">
        <v>134</v>
      </c>
      <c r="AQ46">
        <v>4493</v>
      </c>
      <c r="AR46">
        <v>749</v>
      </c>
      <c r="AS46">
        <v>2025</v>
      </c>
      <c r="AT46" s="23">
        <v>45797</v>
      </c>
      <c r="AU46" s="23" t="s">
        <v>29</v>
      </c>
      <c r="AV46">
        <v>0</v>
      </c>
      <c r="AW46">
        <v>478651.03</v>
      </c>
      <c r="AX46">
        <v>4921619</v>
      </c>
      <c r="AY46">
        <v>1256.63706143591</v>
      </c>
      <c r="AZ46">
        <v>125663.706143591</v>
      </c>
      <c r="BA46">
        <v>0.62236239999999998</v>
      </c>
      <c r="BB46">
        <v>0.62919190000000003</v>
      </c>
      <c r="BC46">
        <v>0.64426609999999995</v>
      </c>
      <c r="BD46">
        <v>3.3093499999999998E-2</v>
      </c>
      <c r="BE46">
        <v>3.9923E-2</v>
      </c>
      <c r="BF46">
        <v>5.49971E-2</v>
      </c>
    </row>
    <row r="47" spans="1:58">
      <c r="A47">
        <v>5409</v>
      </c>
      <c r="B47" t="s">
        <v>121</v>
      </c>
      <c r="C47" t="s">
        <v>86</v>
      </c>
      <c r="G47" s="23">
        <v>43668</v>
      </c>
      <c r="H47">
        <v>3</v>
      </c>
      <c r="I47">
        <v>4816</v>
      </c>
      <c r="J47">
        <v>0</v>
      </c>
      <c r="K47">
        <v>0</v>
      </c>
      <c r="L47">
        <v>0</v>
      </c>
      <c r="M47">
        <v>0</v>
      </c>
      <c r="N47">
        <v>0.01</v>
      </c>
      <c r="O47">
        <v>0.01</v>
      </c>
      <c r="P47">
        <v>0.01</v>
      </c>
      <c r="Q47">
        <v>0.01</v>
      </c>
      <c r="R47">
        <v>-123.29419710000001</v>
      </c>
      <c r="S47">
        <v>44.768360100000002</v>
      </c>
      <c r="T47">
        <v>0</v>
      </c>
      <c r="U47">
        <v>0.01</v>
      </c>
      <c r="V47">
        <v>0</v>
      </c>
      <c r="W47">
        <v>476719.3125</v>
      </c>
      <c r="X47">
        <v>4957260.5</v>
      </c>
      <c r="Y47">
        <v>0</v>
      </c>
      <c r="AA47">
        <v>8</v>
      </c>
      <c r="AB47">
        <v>0.7778678</v>
      </c>
      <c r="AC47">
        <v>0.79400000000000004</v>
      </c>
      <c r="AD47">
        <v>0</v>
      </c>
      <c r="AE47">
        <v>8</v>
      </c>
      <c r="AF47">
        <v>0.97460539999999996</v>
      </c>
      <c r="AG47">
        <v>0.79400000000000004</v>
      </c>
      <c r="AH47">
        <v>0</v>
      </c>
      <c r="AI47">
        <v>31.052177400000001</v>
      </c>
      <c r="AJ47">
        <v>0.29621330000000001</v>
      </c>
      <c r="AK47">
        <v>1</v>
      </c>
      <c r="AL47">
        <v>0.33802880000000002</v>
      </c>
      <c r="AM47">
        <v>1</v>
      </c>
      <c r="AN47">
        <v>1</v>
      </c>
      <c r="AO47">
        <v>2</v>
      </c>
      <c r="AP47">
        <v>2</v>
      </c>
      <c r="AQ47">
        <v>4816</v>
      </c>
      <c r="AR47">
        <v>707</v>
      </c>
      <c r="AS47">
        <v>2025</v>
      </c>
      <c r="AT47" s="23">
        <v>45797</v>
      </c>
      <c r="AU47" s="23" t="s">
        <v>29</v>
      </c>
      <c r="AV47">
        <v>0</v>
      </c>
      <c r="AW47">
        <v>476719.30999999901</v>
      </c>
      <c r="AX47">
        <v>4957260.5</v>
      </c>
      <c r="AY47">
        <v>1256.63706143591</v>
      </c>
      <c r="AZ47">
        <v>125663.706143591</v>
      </c>
      <c r="BA47">
        <v>2.3873000000000002E-3</v>
      </c>
      <c r="BB47">
        <v>0.45905049999999997</v>
      </c>
      <c r="BC47">
        <v>0.48292930000000001</v>
      </c>
      <c r="BD47">
        <v>-0.33564139999999998</v>
      </c>
      <c r="BE47">
        <v>0.1210217</v>
      </c>
      <c r="BF47">
        <v>0.14490059999999999</v>
      </c>
    </row>
    <row r="48" spans="1:58">
      <c r="A48">
        <v>5552</v>
      </c>
      <c r="B48" t="s">
        <v>111</v>
      </c>
      <c r="C48" t="s">
        <v>86</v>
      </c>
      <c r="G48" s="23">
        <v>43668</v>
      </c>
      <c r="H48">
        <v>2</v>
      </c>
      <c r="I48">
        <v>4942</v>
      </c>
      <c r="J48">
        <v>8</v>
      </c>
      <c r="K48">
        <v>8</v>
      </c>
      <c r="L48">
        <v>8</v>
      </c>
      <c r="M48">
        <v>8</v>
      </c>
      <c r="N48">
        <v>0.79400000000000004</v>
      </c>
      <c r="O48">
        <v>0.79400000000000004</v>
      </c>
      <c r="P48">
        <v>0.79400000000000004</v>
      </c>
      <c r="Q48">
        <v>0.79400000000000004</v>
      </c>
      <c r="R48">
        <v>-122.88999939999999</v>
      </c>
      <c r="S48">
        <v>44.587722800000002</v>
      </c>
      <c r="T48">
        <v>8</v>
      </c>
      <c r="U48">
        <v>0.93235299999999999</v>
      </c>
      <c r="V48">
        <v>4.5563699999999999E-2</v>
      </c>
      <c r="W48">
        <v>508731.5625</v>
      </c>
      <c r="X48">
        <v>4937159</v>
      </c>
      <c r="Y48">
        <v>0</v>
      </c>
      <c r="AA48">
        <v>4</v>
      </c>
      <c r="AB48">
        <v>0</v>
      </c>
      <c r="AC48">
        <v>0.40200000000000002</v>
      </c>
      <c r="AD48">
        <v>0</v>
      </c>
      <c r="AE48">
        <v>4</v>
      </c>
      <c r="AF48">
        <v>0</v>
      </c>
      <c r="AG48">
        <v>0.40200000000000002</v>
      </c>
      <c r="AH48">
        <v>0</v>
      </c>
      <c r="AI48">
        <v>31.052177400000001</v>
      </c>
      <c r="AJ48">
        <v>8.4071699999999999E-2</v>
      </c>
      <c r="AK48">
        <v>1</v>
      </c>
      <c r="AL48">
        <v>0.28335900000000003</v>
      </c>
      <c r="AM48">
        <v>1</v>
      </c>
      <c r="AN48">
        <v>1</v>
      </c>
      <c r="AO48">
        <v>9</v>
      </c>
      <c r="AP48">
        <v>9</v>
      </c>
      <c r="AQ48">
        <v>4942</v>
      </c>
      <c r="AR48">
        <v>714</v>
      </c>
      <c r="AS48">
        <v>2025</v>
      </c>
      <c r="AT48" s="23">
        <v>45797</v>
      </c>
      <c r="AU48" s="23" t="s">
        <v>29</v>
      </c>
      <c r="AV48">
        <v>0</v>
      </c>
      <c r="AW48">
        <v>508731.55999999901</v>
      </c>
      <c r="AX48">
        <v>4937159</v>
      </c>
      <c r="AY48">
        <v>1256.63706143591</v>
      </c>
      <c r="AZ48">
        <v>125663.706143591</v>
      </c>
      <c r="BA48">
        <v>0.3511148</v>
      </c>
      <c r="BB48">
        <v>0.36247479999999999</v>
      </c>
      <c r="BC48">
        <v>7.9580000000000004E-4</v>
      </c>
      <c r="BD48">
        <v>6.7755800000000005E-2</v>
      </c>
      <c r="BE48">
        <v>7.91158E-2</v>
      </c>
      <c r="BF48">
        <v>-0.28256320000000001</v>
      </c>
    </row>
    <row r="49" spans="1:58">
      <c r="A49">
        <v>5774</v>
      </c>
      <c r="B49" t="s">
        <v>122</v>
      </c>
      <c r="C49" t="s">
        <v>86</v>
      </c>
      <c r="G49" s="23">
        <v>43668</v>
      </c>
      <c r="H49">
        <v>2</v>
      </c>
      <c r="I49">
        <v>5111</v>
      </c>
      <c r="J49">
        <v>5</v>
      </c>
      <c r="K49">
        <v>5</v>
      </c>
      <c r="L49">
        <v>4</v>
      </c>
      <c r="M49">
        <v>7</v>
      </c>
      <c r="N49">
        <v>0.5</v>
      </c>
      <c r="O49">
        <v>0.5</v>
      </c>
      <c r="P49">
        <v>0.40200000000000002</v>
      </c>
      <c r="Q49">
        <v>0.69599999999999995</v>
      </c>
      <c r="R49">
        <v>-122.9522171</v>
      </c>
      <c r="S49">
        <v>44.644916500000001</v>
      </c>
      <c r="T49">
        <v>5.25</v>
      </c>
      <c r="U49">
        <v>0.61529409999999995</v>
      </c>
      <c r="V49">
        <v>0</v>
      </c>
      <c r="W49">
        <v>503789.28125</v>
      </c>
      <c r="X49">
        <v>4943507.5</v>
      </c>
      <c r="Y49">
        <v>0</v>
      </c>
      <c r="AA49">
        <v>3</v>
      </c>
      <c r="AB49">
        <v>0</v>
      </c>
      <c r="AC49">
        <v>0.30399999999999999</v>
      </c>
      <c r="AD49">
        <v>0</v>
      </c>
      <c r="AE49">
        <v>3</v>
      </c>
      <c r="AF49">
        <v>0</v>
      </c>
      <c r="AG49">
        <v>0.30399999999999999</v>
      </c>
      <c r="AH49">
        <v>0</v>
      </c>
      <c r="AI49">
        <v>31.052177400000001</v>
      </c>
      <c r="AJ49">
        <v>1E-4</v>
      </c>
      <c r="AK49">
        <v>0</v>
      </c>
      <c r="AL49">
        <v>0.29068660000000002</v>
      </c>
      <c r="AM49">
        <v>1</v>
      </c>
      <c r="AN49">
        <v>1</v>
      </c>
      <c r="AO49">
        <v>7</v>
      </c>
      <c r="AP49">
        <v>7</v>
      </c>
      <c r="AQ49">
        <v>5111</v>
      </c>
      <c r="AR49">
        <v>712</v>
      </c>
      <c r="AS49">
        <v>2025</v>
      </c>
      <c r="AT49" s="23">
        <v>45797</v>
      </c>
      <c r="AU49" s="23" t="s">
        <v>29</v>
      </c>
      <c r="AV49">
        <v>0</v>
      </c>
      <c r="AW49">
        <v>503789.28</v>
      </c>
      <c r="AX49">
        <v>4943507.5</v>
      </c>
      <c r="AY49">
        <v>1256.63706143591</v>
      </c>
      <c r="AZ49">
        <v>125663.706143591</v>
      </c>
      <c r="BA49">
        <v>0</v>
      </c>
      <c r="BB49">
        <v>5.7390000000000002E-4</v>
      </c>
      <c r="BC49">
        <v>0</v>
      </c>
      <c r="BD49">
        <v>-0.29068660000000002</v>
      </c>
      <c r="BE49">
        <v>-0.2901127</v>
      </c>
      <c r="BF49">
        <v>-0.29068660000000002</v>
      </c>
    </row>
    <row r="50" spans="1:58">
      <c r="A50">
        <v>6221</v>
      </c>
      <c r="B50" t="s">
        <v>97</v>
      </c>
      <c r="C50" t="s">
        <v>98</v>
      </c>
      <c r="D50" t="s">
        <v>99</v>
      </c>
      <c r="G50" s="23">
        <v>43668</v>
      </c>
      <c r="H50">
        <v>3</v>
      </c>
      <c r="I50">
        <v>5391</v>
      </c>
      <c r="J50">
        <v>6</v>
      </c>
      <c r="K50">
        <v>7</v>
      </c>
      <c r="L50">
        <v>5</v>
      </c>
      <c r="M50">
        <v>10</v>
      </c>
      <c r="N50">
        <v>0.59799999999999998</v>
      </c>
      <c r="O50">
        <v>0.69599999999999995</v>
      </c>
      <c r="P50">
        <v>0.5</v>
      </c>
      <c r="Q50">
        <v>0.99</v>
      </c>
      <c r="R50">
        <v>-123.22310640000001</v>
      </c>
      <c r="S50">
        <v>44.738239299999996</v>
      </c>
      <c r="T50">
        <v>7</v>
      </c>
      <c r="U50">
        <v>0.81705879999999997</v>
      </c>
      <c r="V50">
        <v>2.2035900000000001E-2</v>
      </c>
      <c r="W50">
        <v>482335.6875</v>
      </c>
      <c r="X50">
        <v>4953897</v>
      </c>
      <c r="Y50">
        <v>0</v>
      </c>
      <c r="AA50">
        <v>7</v>
      </c>
      <c r="AB50">
        <v>5.0993700000000003E-2</v>
      </c>
      <c r="AC50">
        <v>0.69599999999999995</v>
      </c>
      <c r="AD50">
        <v>0</v>
      </c>
      <c r="AE50">
        <v>8</v>
      </c>
      <c r="AF50">
        <v>8.5889599999999997E-2</v>
      </c>
      <c r="AG50">
        <v>0.79400000000000004</v>
      </c>
      <c r="AH50">
        <v>1</v>
      </c>
      <c r="AI50">
        <v>31.052177400000001</v>
      </c>
      <c r="AJ50">
        <v>0.40271400000000002</v>
      </c>
      <c r="AK50">
        <v>1</v>
      </c>
      <c r="AL50">
        <v>0.58151540000000002</v>
      </c>
      <c r="AM50">
        <v>1</v>
      </c>
      <c r="AN50">
        <v>1</v>
      </c>
      <c r="AO50">
        <v>6</v>
      </c>
      <c r="AP50">
        <v>6</v>
      </c>
      <c r="AQ50">
        <v>5391</v>
      </c>
      <c r="AR50">
        <v>711</v>
      </c>
      <c r="AS50">
        <v>2025</v>
      </c>
      <c r="AT50" s="23">
        <v>45797</v>
      </c>
      <c r="AU50" s="23" t="s">
        <v>29</v>
      </c>
      <c r="AV50">
        <v>0</v>
      </c>
      <c r="AW50">
        <v>482335.679999999</v>
      </c>
      <c r="AX50">
        <v>4953897</v>
      </c>
      <c r="AY50">
        <v>1256.63706143591</v>
      </c>
      <c r="AZ50">
        <v>125663.706143591</v>
      </c>
      <c r="BA50">
        <v>7.0120000000000002E-4</v>
      </c>
      <c r="BB50">
        <v>7.9580000000000004E-4</v>
      </c>
      <c r="BC50">
        <v>0.18460760000000001</v>
      </c>
      <c r="BD50">
        <v>-0.5808141</v>
      </c>
      <c r="BE50">
        <v>-0.5807196</v>
      </c>
      <c r="BF50">
        <v>-0.39690779999999998</v>
      </c>
    </row>
    <row r="51" spans="1:58">
      <c r="A51">
        <v>25</v>
      </c>
      <c r="B51" t="s">
        <v>123</v>
      </c>
      <c r="C51" t="s">
        <v>124</v>
      </c>
      <c r="D51" t="s">
        <v>83</v>
      </c>
      <c r="F51" t="s">
        <v>84</v>
      </c>
      <c r="H51">
        <v>3</v>
      </c>
      <c r="I51">
        <v>9</v>
      </c>
      <c r="J51">
        <v>6</v>
      </c>
      <c r="K51">
        <v>6</v>
      </c>
      <c r="L51">
        <v>8</v>
      </c>
      <c r="M51">
        <v>8</v>
      </c>
      <c r="N51">
        <v>0.59799999999999998</v>
      </c>
      <c r="O51">
        <v>0.59799999999999998</v>
      </c>
      <c r="P51">
        <v>0.79400000000000004</v>
      </c>
      <c r="Q51">
        <v>0.79400000000000004</v>
      </c>
      <c r="R51">
        <v>-123.2761459</v>
      </c>
      <c r="S51">
        <v>45.1181755</v>
      </c>
      <c r="T51">
        <v>7</v>
      </c>
      <c r="U51">
        <v>0.81705879999999997</v>
      </c>
      <c r="V51">
        <v>0.26575910000000003</v>
      </c>
      <c r="W51">
        <v>478280.125</v>
      </c>
      <c r="X51">
        <v>4996115.5</v>
      </c>
      <c r="Y51">
        <v>0</v>
      </c>
      <c r="AA51">
        <v>8</v>
      </c>
      <c r="AB51">
        <v>0.22813559999999999</v>
      </c>
      <c r="AC51">
        <v>0.79400000000000004</v>
      </c>
      <c r="AD51">
        <v>0</v>
      </c>
      <c r="AE51">
        <v>8</v>
      </c>
      <c r="AF51">
        <v>0.58091590000000004</v>
      </c>
      <c r="AG51">
        <v>0.79400000000000004</v>
      </c>
      <c r="AH51">
        <v>0</v>
      </c>
      <c r="AI51">
        <v>31.052177400000001</v>
      </c>
      <c r="AJ51">
        <v>0.22414829999999999</v>
      </c>
      <c r="AK51">
        <v>1</v>
      </c>
      <c r="AL51">
        <v>0.42058610000000002</v>
      </c>
      <c r="AM51">
        <v>1</v>
      </c>
      <c r="AN51">
        <v>1</v>
      </c>
      <c r="AO51">
        <v>41</v>
      </c>
      <c r="AP51">
        <v>41</v>
      </c>
      <c r="AQ51">
        <v>9</v>
      </c>
      <c r="AR51">
        <v>762</v>
      </c>
      <c r="AS51">
        <v>2025</v>
      </c>
      <c r="AT51" s="23">
        <v>45798</v>
      </c>
      <c r="AU51" s="23" t="s">
        <v>29</v>
      </c>
      <c r="AV51">
        <v>1</v>
      </c>
      <c r="AW51">
        <v>478280.11999999901</v>
      </c>
      <c r="AX51">
        <v>4996115.5</v>
      </c>
      <c r="AY51">
        <v>1256.63706143591</v>
      </c>
      <c r="AZ51">
        <v>125663.706143591</v>
      </c>
      <c r="BA51">
        <v>0.38064769999999998</v>
      </c>
      <c r="BB51">
        <v>0.36711949999999999</v>
      </c>
      <c r="BC51">
        <v>0.3838377</v>
      </c>
      <c r="BD51">
        <v>-3.9938399999999999E-2</v>
      </c>
      <c r="BE51">
        <v>-5.3466600000000003E-2</v>
      </c>
      <c r="BF51">
        <v>-3.6748400000000001E-2</v>
      </c>
    </row>
    <row r="52" spans="1:58">
      <c r="A52">
        <v>1049</v>
      </c>
      <c r="B52" t="s">
        <v>125</v>
      </c>
      <c r="C52" t="s">
        <v>86</v>
      </c>
      <c r="G52" s="23">
        <v>43668</v>
      </c>
      <c r="H52">
        <v>3</v>
      </c>
      <c r="I52">
        <v>1397</v>
      </c>
      <c r="J52">
        <v>8</v>
      </c>
      <c r="K52">
        <v>8</v>
      </c>
      <c r="L52">
        <v>8</v>
      </c>
      <c r="M52">
        <v>8</v>
      </c>
      <c r="N52">
        <v>0.79400000000000004</v>
      </c>
      <c r="O52">
        <v>0.79400000000000004</v>
      </c>
      <c r="P52">
        <v>0.79400000000000004</v>
      </c>
      <c r="Q52">
        <v>0.79400000000000004</v>
      </c>
      <c r="R52">
        <v>-123.3132782</v>
      </c>
      <c r="S52">
        <v>45.043292999999998</v>
      </c>
      <c r="T52">
        <v>8</v>
      </c>
      <c r="U52">
        <v>0.93235299999999999</v>
      </c>
      <c r="V52">
        <v>0.47109610000000002</v>
      </c>
      <c r="W52">
        <v>475327.5</v>
      </c>
      <c r="X52">
        <v>4987807.5</v>
      </c>
      <c r="Y52">
        <v>0</v>
      </c>
      <c r="AA52">
        <v>5</v>
      </c>
      <c r="AB52">
        <v>5.5029999999999999E-4</v>
      </c>
      <c r="AC52">
        <v>0.5</v>
      </c>
      <c r="AD52">
        <v>0</v>
      </c>
      <c r="AE52">
        <v>8</v>
      </c>
      <c r="AF52">
        <v>0.35538029999999998</v>
      </c>
      <c r="AG52">
        <v>0.79400000000000004</v>
      </c>
      <c r="AH52">
        <v>0</v>
      </c>
      <c r="AI52">
        <v>31.052177400000001</v>
      </c>
      <c r="AJ52">
        <v>1E-4</v>
      </c>
      <c r="AK52">
        <v>0</v>
      </c>
      <c r="AL52">
        <v>0.28269860000000002</v>
      </c>
      <c r="AM52">
        <v>1</v>
      </c>
      <c r="AN52">
        <v>1</v>
      </c>
      <c r="AO52">
        <v>39</v>
      </c>
      <c r="AP52">
        <v>39</v>
      </c>
      <c r="AQ52">
        <v>1397</v>
      </c>
      <c r="AR52">
        <v>760</v>
      </c>
      <c r="AS52">
        <v>2025</v>
      </c>
      <c r="AT52" s="23">
        <v>45798</v>
      </c>
      <c r="AU52" s="23" t="s">
        <v>29</v>
      </c>
      <c r="AV52">
        <v>2</v>
      </c>
      <c r="AW52">
        <v>475327.5</v>
      </c>
      <c r="AX52">
        <v>4987807.5</v>
      </c>
      <c r="AY52">
        <v>1256.63706143591</v>
      </c>
      <c r="AZ52">
        <v>125663.706143591</v>
      </c>
      <c r="BA52">
        <v>7.9580000000000004E-4</v>
      </c>
      <c r="BB52">
        <v>2.3873000000000002E-3</v>
      </c>
      <c r="BC52">
        <v>2.0690099999999999E-2</v>
      </c>
      <c r="BD52">
        <v>-0.28190280000000001</v>
      </c>
      <c r="BE52">
        <v>-0.28031129999999999</v>
      </c>
      <c r="BF52">
        <v>-0.26200839999999997</v>
      </c>
    </row>
    <row r="53" spans="1:58">
      <c r="A53">
        <v>1259</v>
      </c>
      <c r="B53" t="s">
        <v>126</v>
      </c>
      <c r="C53" t="s">
        <v>86</v>
      </c>
      <c r="G53" s="23">
        <v>43668</v>
      </c>
      <c r="H53">
        <v>3</v>
      </c>
      <c r="I53">
        <v>1577</v>
      </c>
      <c r="J53">
        <v>7</v>
      </c>
      <c r="K53">
        <v>8</v>
      </c>
      <c r="L53">
        <v>6</v>
      </c>
      <c r="M53">
        <v>7</v>
      </c>
      <c r="N53">
        <v>0.69599999999999995</v>
      </c>
      <c r="O53">
        <v>0.79400000000000004</v>
      </c>
      <c r="P53">
        <v>0.59799999999999998</v>
      </c>
      <c r="Q53">
        <v>0.69599999999999995</v>
      </c>
      <c r="R53">
        <v>-123.3299713</v>
      </c>
      <c r="S53">
        <v>45.049140899999998</v>
      </c>
      <c r="T53">
        <v>7</v>
      </c>
      <c r="U53">
        <v>0.81705879999999997</v>
      </c>
      <c r="V53">
        <v>1.16632E-2</v>
      </c>
      <c r="W53">
        <v>474015.375</v>
      </c>
      <c r="X53">
        <v>4988462.5</v>
      </c>
      <c r="Y53">
        <v>1</v>
      </c>
      <c r="Z53">
        <v>0</v>
      </c>
      <c r="AA53">
        <v>8</v>
      </c>
      <c r="AB53">
        <v>0.1107075</v>
      </c>
      <c r="AC53">
        <v>0.79400000000000004</v>
      </c>
      <c r="AD53">
        <v>1</v>
      </c>
      <c r="AE53">
        <v>7</v>
      </c>
      <c r="AF53">
        <v>8.3448099999999997E-2</v>
      </c>
      <c r="AG53">
        <v>0.69599999999999995</v>
      </c>
      <c r="AH53">
        <v>1</v>
      </c>
      <c r="AI53">
        <v>31.052177400000001</v>
      </c>
      <c r="AJ53">
        <v>0.24752850000000001</v>
      </c>
      <c r="AK53">
        <v>1</v>
      </c>
      <c r="AL53">
        <v>0.25023400000000001</v>
      </c>
      <c r="AM53">
        <v>1</v>
      </c>
      <c r="AN53">
        <v>1</v>
      </c>
      <c r="AO53">
        <v>40</v>
      </c>
      <c r="AP53">
        <v>40</v>
      </c>
      <c r="AQ53">
        <v>1577</v>
      </c>
      <c r="AR53">
        <v>761</v>
      </c>
      <c r="AS53">
        <v>2025</v>
      </c>
      <c r="AT53" s="23">
        <v>45798</v>
      </c>
      <c r="AU53" s="23" t="s">
        <v>29</v>
      </c>
      <c r="AV53">
        <v>1</v>
      </c>
      <c r="AW53">
        <v>474015.36999999901</v>
      </c>
      <c r="AX53">
        <v>4988462.5</v>
      </c>
      <c r="AY53">
        <v>1256.63706143591</v>
      </c>
      <c r="AZ53">
        <v>125663.706143591</v>
      </c>
      <c r="BA53">
        <v>2.6282400000000001E-2</v>
      </c>
      <c r="BB53">
        <v>7.9576999999999998E-3</v>
      </c>
      <c r="BC53">
        <v>1.5915E-3</v>
      </c>
      <c r="BD53">
        <v>-0.2239516</v>
      </c>
      <c r="BE53">
        <v>-0.2422763</v>
      </c>
      <c r="BF53">
        <v>-0.24864249999999999</v>
      </c>
    </row>
    <row r="54" spans="1:58">
      <c r="A54">
        <v>2588</v>
      </c>
      <c r="B54" t="s">
        <v>97</v>
      </c>
      <c r="C54" t="s">
        <v>98</v>
      </c>
      <c r="D54" t="s">
        <v>99</v>
      </c>
      <c r="G54" s="23">
        <v>43668</v>
      </c>
      <c r="H54">
        <v>3</v>
      </c>
      <c r="I54">
        <v>2686</v>
      </c>
      <c r="J54">
        <v>8</v>
      </c>
      <c r="K54">
        <v>6</v>
      </c>
      <c r="L54">
        <v>6</v>
      </c>
      <c r="M54">
        <v>7</v>
      </c>
      <c r="N54">
        <v>0.79400000000000004</v>
      </c>
      <c r="O54">
        <v>0.59799999999999998</v>
      </c>
      <c r="P54">
        <v>0.59799999999999998</v>
      </c>
      <c r="Q54">
        <v>0.69599999999999995</v>
      </c>
      <c r="R54">
        <v>-123.20858</v>
      </c>
      <c r="S54">
        <v>45.065887500000002</v>
      </c>
      <c r="T54">
        <v>6.75</v>
      </c>
      <c r="U54">
        <v>0.78823529999999997</v>
      </c>
      <c r="V54">
        <v>3.9530000000000003E-2</v>
      </c>
      <c r="W54">
        <v>483579.40625</v>
      </c>
      <c r="X54">
        <v>4990291</v>
      </c>
      <c r="Y54">
        <v>0</v>
      </c>
      <c r="AA54">
        <v>4</v>
      </c>
      <c r="AB54">
        <v>0</v>
      </c>
      <c r="AC54">
        <v>0.40200000000000002</v>
      </c>
      <c r="AD54">
        <v>0</v>
      </c>
      <c r="AE54">
        <v>4</v>
      </c>
      <c r="AF54">
        <v>0</v>
      </c>
      <c r="AG54">
        <v>0.40200000000000002</v>
      </c>
      <c r="AH54">
        <v>0</v>
      </c>
      <c r="AI54">
        <v>31.052177400000001</v>
      </c>
      <c r="AJ54">
        <v>1E-4</v>
      </c>
      <c r="AK54">
        <v>0</v>
      </c>
      <c r="AL54">
        <v>0.33826299999999998</v>
      </c>
      <c r="AM54">
        <v>1</v>
      </c>
      <c r="AN54">
        <v>1</v>
      </c>
      <c r="AO54">
        <v>35</v>
      </c>
      <c r="AP54">
        <v>35</v>
      </c>
      <c r="AQ54">
        <v>2686</v>
      </c>
      <c r="AR54">
        <v>756</v>
      </c>
      <c r="AS54">
        <v>2025</v>
      </c>
      <c r="AT54" s="23">
        <v>45798</v>
      </c>
      <c r="AU54" s="23" t="s">
        <v>29</v>
      </c>
      <c r="AV54">
        <v>1</v>
      </c>
      <c r="AW54">
        <v>483579.4</v>
      </c>
      <c r="AX54">
        <v>4990291</v>
      </c>
      <c r="AY54">
        <v>1256.63706143591</v>
      </c>
      <c r="AZ54">
        <v>125663.706143591</v>
      </c>
      <c r="BA54">
        <v>1.4759E-3</v>
      </c>
      <c r="BB54">
        <v>7.162E-3</v>
      </c>
      <c r="BC54">
        <v>4.797E-4</v>
      </c>
      <c r="BD54">
        <v>-0.336787</v>
      </c>
      <c r="BE54">
        <v>-0.33110099999999998</v>
      </c>
      <c r="BF54">
        <v>-0.33778330000000001</v>
      </c>
    </row>
    <row r="55" spans="1:58">
      <c r="A55">
        <v>3354</v>
      </c>
      <c r="B55" t="s">
        <v>127</v>
      </c>
      <c r="C55" t="s">
        <v>86</v>
      </c>
      <c r="G55" s="23">
        <v>43668</v>
      </c>
      <c r="H55">
        <v>2</v>
      </c>
      <c r="I55">
        <v>3278</v>
      </c>
      <c r="J55">
        <v>7</v>
      </c>
      <c r="K55">
        <v>7</v>
      </c>
      <c r="L55">
        <v>8</v>
      </c>
      <c r="M55">
        <v>8</v>
      </c>
      <c r="N55">
        <v>0.69599999999999995</v>
      </c>
      <c r="O55">
        <v>0.69599999999999995</v>
      </c>
      <c r="P55">
        <v>0.79400000000000004</v>
      </c>
      <c r="Q55">
        <v>0.79400000000000004</v>
      </c>
      <c r="R55">
        <v>-123.0724792</v>
      </c>
      <c r="S55">
        <v>44.129566199999999</v>
      </c>
      <c r="T55">
        <v>7.5</v>
      </c>
      <c r="U55">
        <v>0.87470590000000004</v>
      </c>
      <c r="V55">
        <v>0.12783600000000001</v>
      </c>
      <c r="W55">
        <v>494201.8125</v>
      </c>
      <c r="X55">
        <v>4886266</v>
      </c>
      <c r="Y55">
        <v>1</v>
      </c>
      <c r="Z55">
        <v>0</v>
      </c>
      <c r="AA55">
        <v>5</v>
      </c>
      <c r="AB55">
        <v>0</v>
      </c>
      <c r="AC55">
        <v>0.5</v>
      </c>
      <c r="AD55">
        <v>0</v>
      </c>
      <c r="AE55">
        <v>6</v>
      </c>
      <c r="AF55">
        <v>4.07608E-2</v>
      </c>
      <c r="AG55">
        <v>0.59799999999999998</v>
      </c>
      <c r="AH55">
        <v>0</v>
      </c>
      <c r="AI55">
        <v>31.052177400000001</v>
      </c>
      <c r="AJ55">
        <v>1E-4</v>
      </c>
      <c r="AK55">
        <v>0</v>
      </c>
      <c r="AL55">
        <v>0.32246970000000003</v>
      </c>
      <c r="AM55">
        <v>1</v>
      </c>
      <c r="AN55">
        <v>1</v>
      </c>
      <c r="AO55">
        <v>44</v>
      </c>
      <c r="AP55">
        <v>44</v>
      </c>
      <c r="AQ55">
        <v>3278</v>
      </c>
      <c r="AR55">
        <v>766</v>
      </c>
      <c r="AS55">
        <v>2025</v>
      </c>
      <c r="AT55" s="23">
        <v>45798</v>
      </c>
      <c r="AU55" s="23" t="s">
        <v>29</v>
      </c>
      <c r="AV55">
        <v>0</v>
      </c>
      <c r="AW55">
        <v>494201.80999999901</v>
      </c>
      <c r="AX55">
        <v>4886266</v>
      </c>
      <c r="AY55">
        <v>1256.63706143591</v>
      </c>
      <c r="AZ55">
        <v>125663.706143591</v>
      </c>
      <c r="BA55">
        <v>7.9580000000000004E-4</v>
      </c>
      <c r="BB55">
        <v>1.8200999999999998E-2</v>
      </c>
      <c r="BC55">
        <v>1.3514999999999999E-2</v>
      </c>
      <c r="BD55">
        <v>-0.32167390000000001</v>
      </c>
      <c r="BE55">
        <v>-0.3042687</v>
      </c>
      <c r="BF55">
        <v>-0.30895470000000003</v>
      </c>
    </row>
    <row r="56" spans="1:58">
      <c r="A56">
        <v>3463</v>
      </c>
      <c r="B56" t="s">
        <v>128</v>
      </c>
      <c r="C56" t="s">
        <v>86</v>
      </c>
      <c r="G56" s="23">
        <v>43668</v>
      </c>
      <c r="H56">
        <v>3</v>
      </c>
      <c r="I56">
        <v>3367</v>
      </c>
      <c r="J56">
        <v>8</v>
      </c>
      <c r="K56">
        <v>8</v>
      </c>
      <c r="L56">
        <v>8</v>
      </c>
      <c r="M56">
        <v>8</v>
      </c>
      <c r="N56">
        <v>0.79400000000000004</v>
      </c>
      <c r="O56">
        <v>0.79400000000000004</v>
      </c>
      <c r="P56">
        <v>0.79400000000000004</v>
      </c>
      <c r="Q56">
        <v>0.79400000000000004</v>
      </c>
      <c r="R56">
        <v>-123.4056702</v>
      </c>
      <c r="S56">
        <v>45.042205799999998</v>
      </c>
      <c r="T56">
        <v>8</v>
      </c>
      <c r="U56">
        <v>0.93235299999999999</v>
      </c>
      <c r="V56">
        <v>0.2537334</v>
      </c>
      <c r="W56">
        <v>468050.65625</v>
      </c>
      <c r="X56">
        <v>4987719</v>
      </c>
      <c r="Y56">
        <v>1</v>
      </c>
      <c r="Z56">
        <v>3</v>
      </c>
      <c r="AA56">
        <v>8</v>
      </c>
      <c r="AB56">
        <v>0.28621200000000002</v>
      </c>
      <c r="AC56">
        <v>0.79400000000000004</v>
      </c>
      <c r="AD56">
        <v>0</v>
      </c>
      <c r="AE56">
        <v>8</v>
      </c>
      <c r="AF56">
        <v>0.46015240000000002</v>
      </c>
      <c r="AG56">
        <v>0.79400000000000004</v>
      </c>
      <c r="AH56">
        <v>0</v>
      </c>
      <c r="AI56">
        <v>31.052177400000001</v>
      </c>
      <c r="AJ56">
        <v>0.37057499999999999</v>
      </c>
      <c r="AK56">
        <v>1</v>
      </c>
      <c r="AL56">
        <v>0.44829550000000001</v>
      </c>
      <c r="AM56">
        <v>1</v>
      </c>
      <c r="AN56">
        <v>1</v>
      </c>
      <c r="AO56">
        <v>42</v>
      </c>
      <c r="AP56">
        <v>42</v>
      </c>
      <c r="AQ56">
        <v>3367</v>
      </c>
      <c r="AR56">
        <v>763</v>
      </c>
      <c r="AS56">
        <v>2025</v>
      </c>
      <c r="AT56" s="23">
        <v>45798</v>
      </c>
      <c r="AU56" s="23" t="s">
        <v>29</v>
      </c>
      <c r="AV56">
        <v>0</v>
      </c>
      <c r="AW56">
        <v>468050.65</v>
      </c>
      <c r="AX56">
        <v>4987719</v>
      </c>
      <c r="AY56">
        <v>1256.63706143591</v>
      </c>
      <c r="AZ56">
        <v>125663.706143591</v>
      </c>
      <c r="BA56">
        <v>7.9580000000000004E-4</v>
      </c>
      <c r="BB56">
        <v>1.5915E-3</v>
      </c>
      <c r="BC56">
        <v>7.9580000000000004E-4</v>
      </c>
      <c r="BD56">
        <v>-0.4474997</v>
      </c>
      <c r="BE56">
        <v>-0.44670389999999999</v>
      </c>
      <c r="BF56">
        <v>-0.4474997</v>
      </c>
    </row>
    <row r="57" spans="1:58">
      <c r="A57">
        <v>4048</v>
      </c>
      <c r="B57" t="s">
        <v>125</v>
      </c>
      <c r="C57" t="s">
        <v>86</v>
      </c>
      <c r="G57" s="23">
        <v>43668</v>
      </c>
      <c r="H57">
        <v>3</v>
      </c>
      <c r="I57">
        <v>3815</v>
      </c>
      <c r="J57">
        <v>8</v>
      </c>
      <c r="K57">
        <v>7</v>
      </c>
      <c r="L57">
        <v>6</v>
      </c>
      <c r="M57">
        <v>8</v>
      </c>
      <c r="N57">
        <v>0.79400000000000004</v>
      </c>
      <c r="O57">
        <v>0.69599999999999995</v>
      </c>
      <c r="P57">
        <v>0.59799999999999998</v>
      </c>
      <c r="Q57">
        <v>0.79400000000000004</v>
      </c>
      <c r="R57">
        <v>-123.27364350000001</v>
      </c>
      <c r="S57">
        <v>45.042457599999999</v>
      </c>
      <c r="T57">
        <v>7.25</v>
      </c>
      <c r="U57">
        <v>0.84588240000000003</v>
      </c>
      <c r="V57">
        <v>0.28316980000000003</v>
      </c>
      <c r="W57">
        <v>478448.5625</v>
      </c>
      <c r="X57">
        <v>4987703.5</v>
      </c>
      <c r="Y57">
        <v>0</v>
      </c>
      <c r="AA57">
        <v>6</v>
      </c>
      <c r="AB57">
        <v>1.6163E-3</v>
      </c>
      <c r="AC57">
        <v>0.59799999999999998</v>
      </c>
      <c r="AD57">
        <v>0</v>
      </c>
      <c r="AE57">
        <v>7</v>
      </c>
      <c r="AF57">
        <v>1.7483100000000001E-2</v>
      </c>
      <c r="AG57">
        <v>0.69599999999999995</v>
      </c>
      <c r="AH57">
        <v>0</v>
      </c>
      <c r="AI57">
        <v>31.052177400000001</v>
      </c>
      <c r="AJ57">
        <v>1E-4</v>
      </c>
      <c r="AK57">
        <v>0</v>
      </c>
      <c r="AL57">
        <v>0.28460249999999998</v>
      </c>
      <c r="AM57">
        <v>1</v>
      </c>
      <c r="AN57">
        <v>1</v>
      </c>
      <c r="AO57">
        <v>37</v>
      </c>
      <c r="AP57">
        <v>37</v>
      </c>
      <c r="AQ57">
        <v>3815</v>
      </c>
      <c r="AR57">
        <v>758</v>
      </c>
      <c r="AS57">
        <v>2025</v>
      </c>
      <c r="AT57" s="23">
        <v>45798</v>
      </c>
      <c r="AU57" s="23" t="s">
        <v>29</v>
      </c>
      <c r="AV57">
        <v>1</v>
      </c>
      <c r="AW57">
        <v>478448.55999999901</v>
      </c>
      <c r="AX57">
        <v>4987703.5</v>
      </c>
      <c r="AY57">
        <v>1256.63706143591</v>
      </c>
      <c r="AZ57">
        <v>125663.706143591</v>
      </c>
      <c r="BA57">
        <v>3.6801999999999998E-3</v>
      </c>
      <c r="BB57">
        <v>7.9580000000000004E-4</v>
      </c>
      <c r="BC57">
        <v>5.5119999999999995E-4</v>
      </c>
      <c r="BD57">
        <v>-0.28092220000000001</v>
      </c>
      <c r="BE57">
        <v>-0.28380670000000002</v>
      </c>
      <c r="BF57">
        <v>-0.2840512</v>
      </c>
    </row>
    <row r="58" spans="1:58">
      <c r="A58">
        <v>4183</v>
      </c>
      <c r="B58" t="s">
        <v>129</v>
      </c>
      <c r="C58" t="s">
        <v>86</v>
      </c>
      <c r="G58" s="23">
        <v>43668</v>
      </c>
      <c r="H58">
        <v>3</v>
      </c>
      <c r="I58">
        <v>3915</v>
      </c>
      <c r="J58">
        <v>7</v>
      </c>
      <c r="K58">
        <v>8</v>
      </c>
      <c r="L58">
        <v>7</v>
      </c>
      <c r="M58">
        <v>7</v>
      </c>
      <c r="N58">
        <v>0.69599999999999995</v>
      </c>
      <c r="O58">
        <v>0.79400000000000004</v>
      </c>
      <c r="P58">
        <v>0.69599999999999995</v>
      </c>
      <c r="Q58">
        <v>0.69599999999999995</v>
      </c>
      <c r="R58">
        <v>-123.3050842</v>
      </c>
      <c r="S58">
        <v>45.042083699999999</v>
      </c>
      <c r="T58">
        <v>7.25</v>
      </c>
      <c r="U58">
        <v>0.84588240000000003</v>
      </c>
      <c r="V58">
        <v>3.0514699999999999E-2</v>
      </c>
      <c r="W58">
        <v>475972</v>
      </c>
      <c r="X58">
        <v>4987670.5</v>
      </c>
      <c r="Y58">
        <v>0</v>
      </c>
      <c r="AA58">
        <v>4</v>
      </c>
      <c r="AB58">
        <v>0</v>
      </c>
      <c r="AC58">
        <v>0.40200000000000002</v>
      </c>
      <c r="AD58">
        <v>1</v>
      </c>
      <c r="AE58">
        <v>7</v>
      </c>
      <c r="AF58">
        <v>3.2475900000000002E-2</v>
      </c>
      <c r="AG58">
        <v>0.69599999999999995</v>
      </c>
      <c r="AH58">
        <v>0</v>
      </c>
      <c r="AI58">
        <v>31.052177400000001</v>
      </c>
      <c r="AJ58">
        <v>0.16590450000000001</v>
      </c>
      <c r="AK58">
        <v>1</v>
      </c>
      <c r="AL58">
        <v>0.71947309999999998</v>
      </c>
      <c r="AM58">
        <v>1</v>
      </c>
      <c r="AN58">
        <v>1</v>
      </c>
      <c r="AO58">
        <v>38</v>
      </c>
      <c r="AP58">
        <v>38</v>
      </c>
      <c r="AQ58">
        <v>3915</v>
      </c>
      <c r="AR58">
        <v>759</v>
      </c>
      <c r="AS58">
        <v>2025</v>
      </c>
      <c r="AT58" s="23">
        <v>45798</v>
      </c>
      <c r="AU58" s="23" t="s">
        <v>29</v>
      </c>
      <c r="AV58">
        <v>3</v>
      </c>
      <c r="AW58">
        <v>475972</v>
      </c>
      <c r="AX58">
        <v>4987670.5</v>
      </c>
      <c r="AY58">
        <v>1256.63706143591</v>
      </c>
      <c r="AZ58">
        <v>125663.706143591</v>
      </c>
      <c r="BA58">
        <v>1.5915E-3</v>
      </c>
      <c r="BB58">
        <v>1.5915E-3</v>
      </c>
      <c r="BC58">
        <v>2.3873000000000002E-3</v>
      </c>
      <c r="BD58">
        <v>-0.71788149999999995</v>
      </c>
      <c r="BE58">
        <v>-0.71788149999999995</v>
      </c>
      <c r="BF58">
        <v>-0.71708570000000005</v>
      </c>
    </row>
    <row r="59" spans="1:58">
      <c r="A59">
        <v>4521</v>
      </c>
      <c r="B59" t="s">
        <v>130</v>
      </c>
      <c r="C59" t="s">
        <v>86</v>
      </c>
      <c r="G59" s="23">
        <v>43668</v>
      </c>
      <c r="H59">
        <v>3</v>
      </c>
      <c r="I59">
        <v>4140</v>
      </c>
      <c r="J59">
        <v>8</v>
      </c>
      <c r="K59">
        <v>8</v>
      </c>
      <c r="L59">
        <v>6</v>
      </c>
      <c r="M59">
        <v>7</v>
      </c>
      <c r="N59">
        <v>0.79400000000000004</v>
      </c>
      <c r="O59">
        <v>0.79400000000000004</v>
      </c>
      <c r="P59">
        <v>0.59799999999999998</v>
      </c>
      <c r="Q59">
        <v>0.69599999999999995</v>
      </c>
      <c r="R59">
        <v>-123.3720703</v>
      </c>
      <c r="S59">
        <v>45.0177689</v>
      </c>
      <c r="T59">
        <v>7.25</v>
      </c>
      <c r="U59">
        <v>0.84588240000000003</v>
      </c>
      <c r="V59">
        <v>5.4489999999999996E-4</v>
      </c>
      <c r="W59">
        <v>470684.0625</v>
      </c>
      <c r="X59">
        <v>4984992</v>
      </c>
      <c r="Y59">
        <v>0</v>
      </c>
      <c r="AA59">
        <v>4</v>
      </c>
      <c r="AB59">
        <v>0</v>
      </c>
      <c r="AC59">
        <v>0.40200000000000002</v>
      </c>
      <c r="AD59">
        <v>0</v>
      </c>
      <c r="AE59">
        <v>6</v>
      </c>
      <c r="AF59">
        <v>6.5201300000000004E-2</v>
      </c>
      <c r="AG59">
        <v>0.59799999999999998</v>
      </c>
      <c r="AH59">
        <v>0</v>
      </c>
      <c r="AI59">
        <v>31.052177400000001</v>
      </c>
      <c r="AJ59">
        <v>0.2533183</v>
      </c>
      <c r="AK59">
        <v>1</v>
      </c>
      <c r="AL59">
        <v>0.2835625</v>
      </c>
      <c r="AM59">
        <v>1</v>
      </c>
      <c r="AN59">
        <v>1</v>
      </c>
      <c r="AO59">
        <v>43</v>
      </c>
      <c r="AP59">
        <v>43</v>
      </c>
      <c r="AQ59">
        <v>4140</v>
      </c>
      <c r="AR59">
        <v>764</v>
      </c>
      <c r="AS59">
        <v>2025</v>
      </c>
      <c r="AT59" s="23">
        <v>45798</v>
      </c>
      <c r="AU59" s="23" t="s">
        <v>29</v>
      </c>
      <c r="AV59">
        <v>2</v>
      </c>
      <c r="AW59">
        <v>470684.05999999901</v>
      </c>
      <c r="AX59">
        <v>4984992</v>
      </c>
      <c r="AY59">
        <v>1256.63706143591</v>
      </c>
      <c r="AZ59">
        <v>125663.706143591</v>
      </c>
      <c r="BA59">
        <v>0.3002687</v>
      </c>
      <c r="BB59">
        <v>0.3106138</v>
      </c>
      <c r="BC59">
        <v>0.3090174</v>
      </c>
      <c r="BD59">
        <v>1.6706200000000001E-2</v>
      </c>
      <c r="BE59">
        <v>2.7051200000000001E-2</v>
      </c>
      <c r="BF59">
        <v>2.5454899999999999E-2</v>
      </c>
    </row>
    <row r="60" spans="1:58">
      <c r="A60">
        <v>5921</v>
      </c>
      <c r="B60" t="s">
        <v>118</v>
      </c>
      <c r="C60" t="s">
        <v>131</v>
      </c>
      <c r="G60" s="23">
        <v>43668</v>
      </c>
      <c r="H60">
        <v>2</v>
      </c>
      <c r="I60">
        <v>5195</v>
      </c>
      <c r="J60">
        <v>7</v>
      </c>
      <c r="K60">
        <v>7</v>
      </c>
      <c r="L60">
        <v>8</v>
      </c>
      <c r="M60">
        <v>8</v>
      </c>
      <c r="N60">
        <v>0.69599999999999995</v>
      </c>
      <c r="O60">
        <v>0.69599999999999995</v>
      </c>
      <c r="P60">
        <v>0.79400000000000004</v>
      </c>
      <c r="Q60">
        <v>0.79400000000000004</v>
      </c>
      <c r="R60">
        <v>-123.087822</v>
      </c>
      <c r="S60">
        <v>44.128768899999997</v>
      </c>
      <c r="T60">
        <v>7.5</v>
      </c>
      <c r="U60">
        <v>0.87470590000000004</v>
      </c>
      <c r="V60">
        <v>0.1289594</v>
      </c>
      <c r="W60">
        <v>492974.46875</v>
      </c>
      <c r="X60">
        <v>4886178.5</v>
      </c>
      <c r="Y60">
        <v>0</v>
      </c>
      <c r="AA60">
        <v>8</v>
      </c>
      <c r="AB60">
        <v>0.13845850000000001</v>
      </c>
      <c r="AC60">
        <v>0.79400000000000004</v>
      </c>
      <c r="AD60">
        <v>1</v>
      </c>
      <c r="AE60">
        <v>5</v>
      </c>
      <c r="AF60">
        <v>5.4850000000000005E-4</v>
      </c>
      <c r="AG60">
        <v>0.5</v>
      </c>
      <c r="AH60">
        <v>0</v>
      </c>
      <c r="AI60">
        <v>31.052177400000001</v>
      </c>
      <c r="AJ60">
        <v>1E-4</v>
      </c>
      <c r="AK60">
        <v>0</v>
      </c>
      <c r="AL60">
        <v>0.16034109999999999</v>
      </c>
      <c r="AM60">
        <v>1</v>
      </c>
      <c r="AN60">
        <v>1</v>
      </c>
      <c r="AO60">
        <v>45</v>
      </c>
      <c r="AP60">
        <v>45</v>
      </c>
      <c r="AQ60">
        <v>5195</v>
      </c>
      <c r="AR60">
        <v>767</v>
      </c>
      <c r="AS60">
        <v>2025</v>
      </c>
      <c r="AT60" s="23">
        <v>45798</v>
      </c>
      <c r="AU60" s="23" t="s">
        <v>29</v>
      </c>
      <c r="AV60">
        <v>0</v>
      </c>
      <c r="AW60">
        <v>492974.46</v>
      </c>
      <c r="AX60">
        <v>4886178.5</v>
      </c>
      <c r="AY60">
        <v>1256.63706143591</v>
      </c>
      <c r="AZ60">
        <v>125663.706143591</v>
      </c>
      <c r="BA60">
        <v>8.2286000000000008E-3</v>
      </c>
      <c r="BB60">
        <v>1.5915E-3</v>
      </c>
      <c r="BC60">
        <v>7.9580000000000004E-4</v>
      </c>
      <c r="BD60">
        <v>-0.15211259999999999</v>
      </c>
      <c r="BE60">
        <v>-0.15874959999999999</v>
      </c>
      <c r="BF60">
        <v>-0.1595453</v>
      </c>
    </row>
    <row r="61" spans="1:58">
      <c r="A61">
        <v>6192</v>
      </c>
      <c r="B61" t="s">
        <v>97</v>
      </c>
      <c r="C61" t="s">
        <v>98</v>
      </c>
      <c r="D61" t="s">
        <v>99</v>
      </c>
      <c r="G61" s="23">
        <v>43668</v>
      </c>
      <c r="H61">
        <v>3</v>
      </c>
      <c r="I61">
        <v>5364</v>
      </c>
      <c r="J61">
        <v>6</v>
      </c>
      <c r="K61">
        <v>6</v>
      </c>
      <c r="L61">
        <v>7</v>
      </c>
      <c r="M61">
        <v>8</v>
      </c>
      <c r="N61">
        <v>0.59799999999999998</v>
      </c>
      <c r="O61">
        <v>0.59799999999999998</v>
      </c>
      <c r="P61">
        <v>0.69599999999999995</v>
      </c>
      <c r="Q61">
        <v>0.79400000000000004</v>
      </c>
      <c r="R61">
        <v>-123.20786289999999</v>
      </c>
      <c r="S61">
        <v>45.0183258</v>
      </c>
      <c r="T61">
        <v>6.75</v>
      </c>
      <c r="U61">
        <v>0.78823529999999997</v>
      </c>
      <c r="V61">
        <v>0.1331029</v>
      </c>
      <c r="W61">
        <v>483622.71875</v>
      </c>
      <c r="X61">
        <v>4985007.5</v>
      </c>
      <c r="Y61">
        <v>0</v>
      </c>
      <c r="AA61">
        <v>4</v>
      </c>
      <c r="AB61">
        <v>0</v>
      </c>
      <c r="AC61">
        <v>0.40200000000000002</v>
      </c>
      <c r="AD61">
        <v>1</v>
      </c>
      <c r="AE61">
        <v>3</v>
      </c>
      <c r="AF61">
        <v>0</v>
      </c>
      <c r="AG61">
        <v>0.30399999999999999</v>
      </c>
      <c r="AH61">
        <v>0</v>
      </c>
      <c r="AI61">
        <v>31.052177400000001</v>
      </c>
      <c r="AJ61">
        <v>1E-4</v>
      </c>
      <c r="AK61">
        <v>0</v>
      </c>
      <c r="AL61">
        <v>0.24195449999999999</v>
      </c>
      <c r="AM61">
        <v>1</v>
      </c>
      <c r="AN61">
        <v>1</v>
      </c>
      <c r="AO61">
        <v>78</v>
      </c>
      <c r="AP61">
        <v>78</v>
      </c>
      <c r="AQ61">
        <v>5364</v>
      </c>
      <c r="AR61">
        <v>800</v>
      </c>
      <c r="AS61">
        <v>2025</v>
      </c>
      <c r="AT61" s="23">
        <v>45798</v>
      </c>
      <c r="AU61" s="23" t="s">
        <v>29</v>
      </c>
      <c r="AV61">
        <v>0</v>
      </c>
      <c r="AW61">
        <v>483622.71</v>
      </c>
      <c r="AX61">
        <v>4985007.5</v>
      </c>
      <c r="AY61">
        <v>1256.63706143591</v>
      </c>
      <c r="AZ61">
        <v>125663.706143591</v>
      </c>
      <c r="BA61">
        <v>0.21727969999999999</v>
      </c>
      <c r="BB61">
        <v>0.18361279999999999</v>
      </c>
      <c r="BC61">
        <v>3.81E-3</v>
      </c>
      <c r="BD61">
        <v>-2.4674700000000001E-2</v>
      </c>
      <c r="BE61">
        <v>-5.8341700000000003E-2</v>
      </c>
      <c r="BF61">
        <v>-0.23814450000000001</v>
      </c>
    </row>
    <row r="62" spans="1:58">
      <c r="A62">
        <v>6208</v>
      </c>
      <c r="B62" t="s">
        <v>132</v>
      </c>
      <c r="C62" t="s">
        <v>86</v>
      </c>
      <c r="G62" s="23">
        <v>43668</v>
      </c>
      <c r="H62">
        <v>3</v>
      </c>
      <c r="I62">
        <v>5380</v>
      </c>
      <c r="J62">
        <v>6</v>
      </c>
      <c r="K62">
        <v>7</v>
      </c>
      <c r="L62">
        <v>6</v>
      </c>
      <c r="M62">
        <v>7</v>
      </c>
      <c r="N62">
        <v>0.59799999999999998</v>
      </c>
      <c r="O62">
        <v>0.69599999999999995</v>
      </c>
      <c r="P62">
        <v>0.59799999999999998</v>
      </c>
      <c r="Q62">
        <v>0.69599999999999995</v>
      </c>
      <c r="R62">
        <v>-123.23724369999999</v>
      </c>
      <c r="S62">
        <v>45.065952299999999</v>
      </c>
      <c r="T62">
        <v>6.5</v>
      </c>
      <c r="U62">
        <v>0.75941179999999997</v>
      </c>
      <c r="V62">
        <v>1.0743E-3</v>
      </c>
      <c r="W62">
        <v>481323.21875</v>
      </c>
      <c r="X62">
        <v>4990304</v>
      </c>
      <c r="Y62">
        <v>0</v>
      </c>
      <c r="AA62">
        <v>5</v>
      </c>
      <c r="AB62">
        <v>0</v>
      </c>
      <c r="AC62">
        <v>0.5</v>
      </c>
      <c r="AD62">
        <v>0</v>
      </c>
      <c r="AE62">
        <v>5</v>
      </c>
      <c r="AF62">
        <v>0</v>
      </c>
      <c r="AG62">
        <v>0.5</v>
      </c>
      <c r="AH62">
        <v>0</v>
      </c>
      <c r="AI62">
        <v>31.052177400000001</v>
      </c>
      <c r="AJ62">
        <v>1E-4</v>
      </c>
      <c r="AK62">
        <v>0</v>
      </c>
      <c r="AL62">
        <v>0.26300800000000002</v>
      </c>
      <c r="AM62">
        <v>1</v>
      </c>
      <c r="AN62">
        <v>1</v>
      </c>
      <c r="AO62">
        <v>36</v>
      </c>
      <c r="AP62">
        <v>36</v>
      </c>
      <c r="AQ62">
        <v>5380</v>
      </c>
      <c r="AR62">
        <v>757</v>
      </c>
      <c r="AS62">
        <v>2025</v>
      </c>
      <c r="AT62" s="23">
        <v>45798</v>
      </c>
      <c r="AU62" s="23" t="s">
        <v>29</v>
      </c>
      <c r="AV62">
        <v>0</v>
      </c>
      <c r="AW62">
        <v>481323.21</v>
      </c>
      <c r="AX62">
        <v>4990304</v>
      </c>
      <c r="AY62">
        <v>1256.63706143591</v>
      </c>
      <c r="AZ62">
        <v>125663.706143591</v>
      </c>
      <c r="BA62">
        <v>2.3873000000000002E-3</v>
      </c>
      <c r="BB62">
        <v>5.5703999999999997E-3</v>
      </c>
      <c r="BC62">
        <v>2.3873000000000002E-3</v>
      </c>
      <c r="BD62">
        <v>-0.26062069999999998</v>
      </c>
      <c r="BE62">
        <v>-0.25743759999999999</v>
      </c>
      <c r="BF62">
        <v>-0.26062069999999998</v>
      </c>
    </row>
    <row r="63" spans="1:58">
      <c r="A63">
        <v>520</v>
      </c>
      <c r="B63" t="s">
        <v>133</v>
      </c>
      <c r="C63" t="s">
        <v>82</v>
      </c>
      <c r="D63" t="s">
        <v>83</v>
      </c>
      <c r="F63" t="s">
        <v>84</v>
      </c>
      <c r="H63">
        <v>1</v>
      </c>
      <c r="I63">
        <v>342</v>
      </c>
      <c r="J63">
        <v>8</v>
      </c>
      <c r="K63">
        <v>8</v>
      </c>
      <c r="L63">
        <v>6</v>
      </c>
      <c r="M63">
        <v>7</v>
      </c>
      <c r="N63">
        <v>0.79400000000000004</v>
      </c>
      <c r="O63">
        <v>0.79400000000000004</v>
      </c>
      <c r="P63">
        <v>0.59799999999999998</v>
      </c>
      <c r="Q63">
        <v>0.69599999999999995</v>
      </c>
      <c r="R63">
        <v>-123.0759888</v>
      </c>
      <c r="S63">
        <v>45.181201899999998</v>
      </c>
      <c r="T63">
        <v>7.25</v>
      </c>
      <c r="U63">
        <v>0.84588240000000003</v>
      </c>
      <c r="V63">
        <v>0</v>
      </c>
      <c r="W63">
        <v>494029.5625</v>
      </c>
      <c r="X63">
        <v>5003083</v>
      </c>
      <c r="Y63">
        <v>0</v>
      </c>
      <c r="AA63">
        <v>5</v>
      </c>
      <c r="AB63">
        <v>5.5150000000000002E-4</v>
      </c>
      <c r="AC63">
        <v>0.5</v>
      </c>
      <c r="AD63">
        <v>0</v>
      </c>
      <c r="AE63">
        <v>5</v>
      </c>
      <c r="AF63">
        <v>0</v>
      </c>
      <c r="AG63">
        <v>0.5</v>
      </c>
      <c r="AH63">
        <v>0</v>
      </c>
      <c r="AI63">
        <v>31.052177400000001</v>
      </c>
      <c r="AJ63">
        <v>0.16817190000000001</v>
      </c>
      <c r="AK63">
        <v>0</v>
      </c>
      <c r="AL63">
        <v>0.29728189999999999</v>
      </c>
      <c r="AM63">
        <v>1</v>
      </c>
      <c r="AN63">
        <v>1</v>
      </c>
      <c r="AO63">
        <v>82</v>
      </c>
      <c r="AP63">
        <v>82</v>
      </c>
      <c r="AQ63">
        <v>342</v>
      </c>
      <c r="AR63">
        <v>804</v>
      </c>
      <c r="AS63">
        <v>2025</v>
      </c>
      <c r="AT63" s="23">
        <v>45799</v>
      </c>
      <c r="AU63" s="23" t="s">
        <v>29</v>
      </c>
      <c r="AV63">
        <v>0</v>
      </c>
      <c r="AW63">
        <v>494029.55999999901</v>
      </c>
      <c r="AX63">
        <v>5003083</v>
      </c>
      <c r="AY63">
        <v>1256.63706143591</v>
      </c>
      <c r="AZ63">
        <v>125663.706143591</v>
      </c>
      <c r="BA63">
        <v>1.5915E-3</v>
      </c>
      <c r="BB63">
        <v>7.9580000000000004E-4</v>
      </c>
      <c r="BC63">
        <v>2.3873000000000002E-3</v>
      </c>
      <c r="BD63">
        <v>-0.29569030000000002</v>
      </c>
      <c r="BE63">
        <v>-0.29648609999999997</v>
      </c>
      <c r="BF63">
        <v>-0.29489460000000001</v>
      </c>
    </row>
    <row r="64" spans="1:58">
      <c r="A64">
        <v>714</v>
      </c>
      <c r="B64" t="s">
        <v>134</v>
      </c>
      <c r="C64" t="s">
        <v>82</v>
      </c>
      <c r="D64" t="s">
        <v>83</v>
      </c>
      <c r="F64" t="s">
        <v>84</v>
      </c>
      <c r="H64">
        <v>1</v>
      </c>
      <c r="I64">
        <v>482</v>
      </c>
      <c r="J64">
        <v>5</v>
      </c>
      <c r="K64">
        <v>5</v>
      </c>
      <c r="L64">
        <v>5</v>
      </c>
      <c r="M64">
        <v>6</v>
      </c>
      <c r="N64">
        <v>0.5</v>
      </c>
      <c r="O64">
        <v>0.5</v>
      </c>
      <c r="P64">
        <v>0.5</v>
      </c>
      <c r="Q64">
        <v>0.59799999999999998</v>
      </c>
      <c r="R64">
        <v>-123.04422</v>
      </c>
      <c r="S64">
        <v>45.157108299999997</v>
      </c>
      <c r="T64">
        <v>5.25</v>
      </c>
      <c r="U64">
        <v>0.61529409999999995</v>
      </c>
      <c r="V64">
        <v>0</v>
      </c>
      <c r="W64">
        <v>496524.5625</v>
      </c>
      <c r="X64">
        <v>5000404.5</v>
      </c>
      <c r="Y64">
        <v>0</v>
      </c>
      <c r="AA64">
        <v>6</v>
      </c>
      <c r="AB64">
        <v>4.8217099999999999E-2</v>
      </c>
      <c r="AC64">
        <v>0.59799999999999998</v>
      </c>
      <c r="AD64">
        <v>0</v>
      </c>
      <c r="AE64">
        <v>6</v>
      </c>
      <c r="AF64">
        <v>1.8901600000000001E-2</v>
      </c>
      <c r="AG64">
        <v>0.59799999999999998</v>
      </c>
      <c r="AH64">
        <v>0</v>
      </c>
      <c r="AI64">
        <v>31.052177400000001</v>
      </c>
      <c r="AJ64">
        <v>0.1298058</v>
      </c>
      <c r="AK64">
        <v>0</v>
      </c>
      <c r="AL64">
        <v>0.2927208</v>
      </c>
      <c r="AM64">
        <v>1</v>
      </c>
      <c r="AN64">
        <v>1</v>
      </c>
      <c r="AO64">
        <v>83</v>
      </c>
      <c r="AP64">
        <v>83</v>
      </c>
      <c r="AQ64">
        <v>482</v>
      </c>
      <c r="AR64">
        <v>805</v>
      </c>
      <c r="AS64">
        <v>2025</v>
      </c>
      <c r="AT64" s="23">
        <v>45799</v>
      </c>
      <c r="AU64" s="23" t="s">
        <v>29</v>
      </c>
      <c r="AV64">
        <v>0</v>
      </c>
      <c r="AW64">
        <v>496524.55999999901</v>
      </c>
      <c r="AX64">
        <v>5000404.5</v>
      </c>
      <c r="AY64">
        <v>1256.63706143591</v>
      </c>
      <c r="AZ64">
        <v>125663.706143591</v>
      </c>
      <c r="BA64">
        <v>0.21507090000000001</v>
      </c>
      <c r="BB64">
        <v>0.23704829999999999</v>
      </c>
      <c r="BC64">
        <v>4.772E-4</v>
      </c>
      <c r="BD64">
        <v>-7.7649999999999997E-2</v>
      </c>
      <c r="BE64">
        <v>-5.56725E-2</v>
      </c>
      <c r="BF64">
        <v>-0.29224359999999999</v>
      </c>
    </row>
    <row r="65" spans="1:58">
      <c r="A65">
        <v>213</v>
      </c>
      <c r="B65" t="s">
        <v>135</v>
      </c>
      <c r="C65" t="s">
        <v>86</v>
      </c>
      <c r="G65" s="23">
        <v>43668</v>
      </c>
      <c r="H65">
        <v>2</v>
      </c>
      <c r="I65">
        <v>711</v>
      </c>
      <c r="J65">
        <v>6</v>
      </c>
      <c r="K65">
        <v>8</v>
      </c>
      <c r="L65">
        <v>8</v>
      </c>
      <c r="M65">
        <v>8</v>
      </c>
      <c r="N65">
        <v>0.59799999999999998</v>
      </c>
      <c r="O65">
        <v>0.79400000000000004</v>
      </c>
      <c r="P65">
        <v>0.79400000000000004</v>
      </c>
      <c r="Q65">
        <v>0.79400000000000004</v>
      </c>
      <c r="R65">
        <v>-123.2065964</v>
      </c>
      <c r="S65">
        <v>44.524795500000003</v>
      </c>
      <c r="T65">
        <v>7.5</v>
      </c>
      <c r="U65">
        <v>0.87470590000000004</v>
      </c>
      <c r="V65">
        <v>3.2245500000000003E-2</v>
      </c>
      <c r="W65">
        <v>483583.25</v>
      </c>
      <c r="X65">
        <v>4930184</v>
      </c>
      <c r="Y65">
        <v>0</v>
      </c>
      <c r="AA65">
        <v>4</v>
      </c>
      <c r="AB65">
        <v>0</v>
      </c>
      <c r="AC65">
        <v>0.40200000000000002</v>
      </c>
      <c r="AD65">
        <v>1</v>
      </c>
      <c r="AE65">
        <v>5</v>
      </c>
      <c r="AF65">
        <v>2.8587E-3</v>
      </c>
      <c r="AG65">
        <v>0.5</v>
      </c>
      <c r="AH65">
        <v>0</v>
      </c>
      <c r="AI65">
        <v>31.052177400000001</v>
      </c>
      <c r="AJ65">
        <v>1E-4</v>
      </c>
      <c r="AK65">
        <v>0</v>
      </c>
      <c r="AL65">
        <v>0.20367779999999999</v>
      </c>
      <c r="AM65">
        <v>1</v>
      </c>
      <c r="AN65">
        <v>1</v>
      </c>
      <c r="AO65">
        <v>46</v>
      </c>
      <c r="AP65">
        <v>46</v>
      </c>
      <c r="AQ65">
        <v>711</v>
      </c>
      <c r="AR65">
        <v>768</v>
      </c>
      <c r="AS65">
        <v>2025</v>
      </c>
      <c r="AT65" s="23">
        <v>45799</v>
      </c>
      <c r="AU65" s="23" t="s">
        <v>29</v>
      </c>
      <c r="AV65">
        <v>0</v>
      </c>
      <c r="AW65">
        <v>483583.25</v>
      </c>
      <c r="AX65">
        <v>4930184</v>
      </c>
      <c r="AY65">
        <v>1256.63706143591</v>
      </c>
      <c r="AZ65">
        <v>125663.706143591</v>
      </c>
      <c r="BA65">
        <v>0.22250710000000001</v>
      </c>
      <c r="BB65">
        <v>0.2288733</v>
      </c>
      <c r="BC65">
        <v>0.24149570000000001</v>
      </c>
      <c r="BD65">
        <v>1.88293E-2</v>
      </c>
      <c r="BE65">
        <v>2.5195499999999999E-2</v>
      </c>
      <c r="BF65">
        <v>3.7817900000000002E-2</v>
      </c>
    </row>
    <row r="66" spans="1:58">
      <c r="A66">
        <v>546</v>
      </c>
      <c r="B66" t="s">
        <v>136</v>
      </c>
      <c r="C66" t="s">
        <v>86</v>
      </c>
      <c r="D66" t="s">
        <v>137</v>
      </c>
      <c r="G66" s="23">
        <v>43668</v>
      </c>
      <c r="H66">
        <v>1</v>
      </c>
      <c r="I66">
        <v>978</v>
      </c>
      <c r="J66">
        <v>6</v>
      </c>
      <c r="K66">
        <v>7</v>
      </c>
      <c r="L66">
        <v>6</v>
      </c>
      <c r="M66">
        <v>6</v>
      </c>
      <c r="N66">
        <v>0.59799999999999998</v>
      </c>
      <c r="O66">
        <v>0.69599999999999995</v>
      </c>
      <c r="P66">
        <v>0.59799999999999998</v>
      </c>
      <c r="Q66">
        <v>0.59799999999999998</v>
      </c>
      <c r="R66">
        <v>-122.72251129999999</v>
      </c>
      <c r="S66">
        <v>45.037933299999999</v>
      </c>
      <c r="T66">
        <v>6.25</v>
      </c>
      <c r="U66">
        <v>0.73058829999999997</v>
      </c>
      <c r="V66">
        <v>0</v>
      </c>
      <c r="W66">
        <v>521855.875</v>
      </c>
      <c r="X66">
        <v>4987202</v>
      </c>
      <c r="Y66">
        <v>0</v>
      </c>
      <c r="AA66">
        <v>5</v>
      </c>
      <c r="AB66">
        <v>9.6980000000000005E-4</v>
      </c>
      <c r="AC66">
        <v>0.5</v>
      </c>
      <c r="AD66">
        <v>0</v>
      </c>
      <c r="AE66">
        <v>8</v>
      </c>
      <c r="AF66">
        <v>0.38623370000000001</v>
      </c>
      <c r="AG66">
        <v>0.79400000000000004</v>
      </c>
      <c r="AH66">
        <v>0</v>
      </c>
      <c r="AI66">
        <v>31.052177400000001</v>
      </c>
      <c r="AJ66">
        <v>6.0150000000000004E-4</v>
      </c>
      <c r="AK66">
        <v>0</v>
      </c>
      <c r="AL66">
        <v>0.28510350000000001</v>
      </c>
      <c r="AM66">
        <v>1</v>
      </c>
      <c r="AN66">
        <v>1</v>
      </c>
      <c r="AO66">
        <v>79</v>
      </c>
      <c r="AP66">
        <v>79</v>
      </c>
      <c r="AQ66">
        <v>978</v>
      </c>
      <c r="AR66">
        <v>801</v>
      </c>
      <c r="AS66">
        <v>2025</v>
      </c>
      <c r="AT66" s="23">
        <v>45799</v>
      </c>
      <c r="AU66" s="23" t="s">
        <v>29</v>
      </c>
      <c r="AV66">
        <v>0</v>
      </c>
      <c r="AW66">
        <v>521855.86999999901</v>
      </c>
      <c r="AX66">
        <v>4987202</v>
      </c>
      <c r="AY66">
        <v>1256.63706143591</v>
      </c>
      <c r="AZ66">
        <v>125663.706143591</v>
      </c>
      <c r="BA66">
        <v>7.9580000000000004E-4</v>
      </c>
      <c r="BB66">
        <v>6.8789999999999997E-4</v>
      </c>
      <c r="BC66">
        <v>3.1830999999999999E-3</v>
      </c>
      <c r="BD66">
        <v>-0.2843077</v>
      </c>
      <c r="BE66">
        <v>-0.28441559999999999</v>
      </c>
      <c r="BF66">
        <v>-0.28192040000000002</v>
      </c>
    </row>
    <row r="67" spans="1:58">
      <c r="A67">
        <v>629</v>
      </c>
      <c r="B67" t="s">
        <v>138</v>
      </c>
      <c r="C67" t="s">
        <v>88</v>
      </c>
      <c r="G67" s="23">
        <v>43668</v>
      </c>
      <c r="H67">
        <v>2</v>
      </c>
      <c r="I67">
        <v>1050</v>
      </c>
      <c r="J67">
        <v>7</v>
      </c>
      <c r="K67">
        <v>6</v>
      </c>
      <c r="L67">
        <v>4</v>
      </c>
      <c r="M67">
        <v>8</v>
      </c>
      <c r="N67">
        <v>0.69599999999999995</v>
      </c>
      <c r="O67">
        <v>0.59799999999999998</v>
      </c>
      <c r="P67">
        <v>0.40200000000000002</v>
      </c>
      <c r="Q67">
        <v>0.79400000000000004</v>
      </c>
      <c r="R67">
        <v>-123.1147995</v>
      </c>
      <c r="S67">
        <v>44.5366821</v>
      </c>
      <c r="T67">
        <v>6.25</v>
      </c>
      <c r="U67">
        <v>0.73058829999999997</v>
      </c>
      <c r="V67">
        <v>0.27476339999999999</v>
      </c>
      <c r="W67">
        <v>490879.5625</v>
      </c>
      <c r="X67">
        <v>4931490</v>
      </c>
      <c r="Y67">
        <v>0</v>
      </c>
      <c r="AA67">
        <v>1</v>
      </c>
      <c r="AB67">
        <v>0</v>
      </c>
      <c r="AC67">
        <v>0.108</v>
      </c>
      <c r="AD67">
        <v>0</v>
      </c>
      <c r="AE67">
        <v>5</v>
      </c>
      <c r="AF67">
        <v>6.1225000000000003E-3</v>
      </c>
      <c r="AG67">
        <v>0.5</v>
      </c>
      <c r="AH67">
        <v>0</v>
      </c>
      <c r="AI67">
        <v>31.052177400000001</v>
      </c>
      <c r="AJ67">
        <v>0.25052750000000001</v>
      </c>
      <c r="AK67">
        <v>1</v>
      </c>
      <c r="AL67">
        <v>0.2811053</v>
      </c>
      <c r="AM67">
        <v>1</v>
      </c>
      <c r="AN67">
        <v>1</v>
      </c>
      <c r="AO67">
        <v>53</v>
      </c>
      <c r="AP67">
        <v>53</v>
      </c>
      <c r="AQ67">
        <v>1050</v>
      </c>
      <c r="AR67">
        <v>775</v>
      </c>
      <c r="AS67">
        <v>2025</v>
      </c>
      <c r="AT67" s="23">
        <v>45799</v>
      </c>
      <c r="AU67" s="23" t="s">
        <v>29</v>
      </c>
      <c r="AV67">
        <v>0</v>
      </c>
      <c r="AW67">
        <v>490879.55999999901</v>
      </c>
      <c r="AX67">
        <v>4931490</v>
      </c>
      <c r="AY67">
        <v>1256.63706143591</v>
      </c>
      <c r="AZ67">
        <v>125663.706143591</v>
      </c>
      <c r="BA67">
        <v>0.2807325</v>
      </c>
      <c r="BB67">
        <v>0.30538340000000003</v>
      </c>
      <c r="BC67">
        <v>0.36236610000000002</v>
      </c>
      <c r="BD67">
        <v>-3.7280000000000001E-4</v>
      </c>
      <c r="BE67">
        <v>2.42781E-2</v>
      </c>
      <c r="BF67">
        <v>8.1260700000000005E-2</v>
      </c>
    </row>
    <row r="68" spans="1:58">
      <c r="A68">
        <v>859</v>
      </c>
      <c r="B68" t="s">
        <v>139</v>
      </c>
      <c r="C68" t="s">
        <v>86</v>
      </c>
      <c r="D68" t="s">
        <v>137</v>
      </c>
      <c r="G68" s="23">
        <v>43668</v>
      </c>
      <c r="H68">
        <v>1</v>
      </c>
      <c r="I68">
        <v>1240</v>
      </c>
      <c r="J68">
        <v>7</v>
      </c>
      <c r="K68">
        <v>7</v>
      </c>
      <c r="L68">
        <v>7</v>
      </c>
      <c r="M68">
        <v>8</v>
      </c>
      <c r="N68">
        <v>0.69599999999999995</v>
      </c>
      <c r="O68">
        <v>0.69599999999999995</v>
      </c>
      <c r="P68">
        <v>0.69599999999999995</v>
      </c>
      <c r="Q68">
        <v>0.79400000000000004</v>
      </c>
      <c r="R68">
        <v>-122.9334793</v>
      </c>
      <c r="S68">
        <v>45.242446899999997</v>
      </c>
      <c r="T68">
        <v>7.25</v>
      </c>
      <c r="U68">
        <v>0.84588240000000003</v>
      </c>
      <c r="V68">
        <v>1.4297600000000001E-2</v>
      </c>
      <c r="W68">
        <v>505220.71875</v>
      </c>
      <c r="X68">
        <v>5009886</v>
      </c>
      <c r="Y68">
        <v>0</v>
      </c>
      <c r="AA68">
        <v>5</v>
      </c>
      <c r="AB68">
        <v>3.3443000000000001E-3</v>
      </c>
      <c r="AC68">
        <v>0.5</v>
      </c>
      <c r="AD68">
        <v>0</v>
      </c>
      <c r="AE68">
        <v>7</v>
      </c>
      <c r="AF68">
        <v>0.27244699999999999</v>
      </c>
      <c r="AG68">
        <v>0.69599999999999995</v>
      </c>
      <c r="AH68">
        <v>0</v>
      </c>
      <c r="AI68">
        <v>31.052177400000001</v>
      </c>
      <c r="AJ68">
        <v>0.14137179999999999</v>
      </c>
      <c r="AK68">
        <v>0</v>
      </c>
      <c r="AL68">
        <v>0.56354349999999998</v>
      </c>
      <c r="AM68">
        <v>1</v>
      </c>
      <c r="AN68">
        <v>1</v>
      </c>
      <c r="AO68">
        <v>76</v>
      </c>
      <c r="AP68">
        <v>76</v>
      </c>
      <c r="AQ68">
        <v>1240</v>
      </c>
      <c r="AR68">
        <v>798</v>
      </c>
      <c r="AS68">
        <v>2025</v>
      </c>
      <c r="AT68" s="23">
        <v>45799</v>
      </c>
      <c r="AU68" s="23" t="s">
        <v>29</v>
      </c>
      <c r="AV68">
        <v>0</v>
      </c>
      <c r="AW68">
        <v>505220.71</v>
      </c>
      <c r="AX68">
        <v>5009886</v>
      </c>
      <c r="AY68">
        <v>1256.63706143591</v>
      </c>
      <c r="AZ68">
        <v>125663.706143591</v>
      </c>
      <c r="BA68">
        <v>1.5915E-3</v>
      </c>
      <c r="BB68">
        <v>0.59262000000000004</v>
      </c>
      <c r="BC68">
        <v>7.9580000000000004E-4</v>
      </c>
      <c r="BD68">
        <v>-0.56195189999999995</v>
      </c>
      <c r="BE68">
        <v>2.9076500000000002E-2</v>
      </c>
      <c r="BF68">
        <v>-0.56274769999999996</v>
      </c>
    </row>
    <row r="69" spans="1:58">
      <c r="A69">
        <v>1033</v>
      </c>
      <c r="B69" t="s">
        <v>140</v>
      </c>
      <c r="C69" t="s">
        <v>88</v>
      </c>
      <c r="G69" s="23">
        <v>43668</v>
      </c>
      <c r="H69">
        <v>2</v>
      </c>
      <c r="I69">
        <v>1382</v>
      </c>
      <c r="J69">
        <v>4</v>
      </c>
      <c r="K69">
        <v>8</v>
      </c>
      <c r="L69">
        <v>5</v>
      </c>
      <c r="M69">
        <v>8</v>
      </c>
      <c r="N69">
        <v>0.40200000000000002</v>
      </c>
      <c r="O69">
        <v>0.79400000000000004</v>
      </c>
      <c r="P69">
        <v>0.5</v>
      </c>
      <c r="Q69">
        <v>0.79400000000000004</v>
      </c>
      <c r="R69">
        <v>-123.0408249</v>
      </c>
      <c r="S69">
        <v>44.519340499999998</v>
      </c>
      <c r="T69">
        <v>6.25</v>
      </c>
      <c r="U69">
        <v>0.73058829999999997</v>
      </c>
      <c r="V69">
        <v>0.2793253</v>
      </c>
      <c r="W69">
        <v>496755.625</v>
      </c>
      <c r="X69">
        <v>4929558.5</v>
      </c>
      <c r="Y69">
        <v>0</v>
      </c>
      <c r="AA69">
        <v>8</v>
      </c>
      <c r="AB69">
        <v>0.21539340000000001</v>
      </c>
      <c r="AC69">
        <v>0.79400000000000004</v>
      </c>
      <c r="AD69">
        <v>0</v>
      </c>
      <c r="AE69">
        <v>4</v>
      </c>
      <c r="AF69">
        <v>0</v>
      </c>
      <c r="AG69">
        <v>0.40200000000000002</v>
      </c>
      <c r="AH69">
        <v>0</v>
      </c>
      <c r="AI69">
        <v>31.052177400000001</v>
      </c>
      <c r="AJ69">
        <v>0.31005199999999999</v>
      </c>
      <c r="AK69">
        <v>1</v>
      </c>
      <c r="AL69">
        <v>0.22509370000000001</v>
      </c>
      <c r="AM69">
        <v>1</v>
      </c>
      <c r="AN69">
        <v>1</v>
      </c>
      <c r="AO69">
        <v>48</v>
      </c>
      <c r="AP69">
        <v>48</v>
      </c>
      <c r="AQ69">
        <v>1382</v>
      </c>
      <c r="AR69">
        <v>770</v>
      </c>
      <c r="AS69">
        <v>2025</v>
      </c>
      <c r="AT69" s="23">
        <v>45799</v>
      </c>
      <c r="AU69" s="23" t="s">
        <v>29</v>
      </c>
      <c r="AV69">
        <v>2</v>
      </c>
      <c r="AW69">
        <v>496755.61999999901</v>
      </c>
      <c r="AX69">
        <v>4929558.5</v>
      </c>
      <c r="AY69">
        <v>1256.63706143591</v>
      </c>
      <c r="AZ69">
        <v>125663.706143591</v>
      </c>
      <c r="BA69">
        <v>1.5915E-3</v>
      </c>
      <c r="BB69">
        <v>9.7896000000000007E-3</v>
      </c>
      <c r="BC69">
        <v>0.33952529999999997</v>
      </c>
      <c r="BD69">
        <v>-0.22350220000000001</v>
      </c>
      <c r="BE69">
        <v>-0.2153041</v>
      </c>
      <c r="BF69">
        <v>0.11443150000000001</v>
      </c>
    </row>
    <row r="70" spans="1:58">
      <c r="A70">
        <v>1126</v>
      </c>
      <c r="B70" t="s">
        <v>141</v>
      </c>
      <c r="C70" t="s">
        <v>86</v>
      </c>
      <c r="D70" t="s">
        <v>137</v>
      </c>
      <c r="G70" s="23">
        <v>43668</v>
      </c>
      <c r="H70">
        <v>1</v>
      </c>
      <c r="I70">
        <v>1461</v>
      </c>
      <c r="J70">
        <v>7</v>
      </c>
      <c r="K70">
        <v>5</v>
      </c>
      <c r="L70">
        <v>5</v>
      </c>
      <c r="M70">
        <v>5</v>
      </c>
      <c r="N70">
        <v>0.69599999999999995</v>
      </c>
      <c r="O70">
        <v>0.5</v>
      </c>
      <c r="P70">
        <v>0.5</v>
      </c>
      <c r="Q70">
        <v>0.5</v>
      </c>
      <c r="R70">
        <v>-122.94760890000001</v>
      </c>
      <c r="S70">
        <v>45.262920399999999</v>
      </c>
      <c r="T70">
        <v>5.5</v>
      </c>
      <c r="U70">
        <v>0.64411770000000002</v>
      </c>
      <c r="V70">
        <v>0</v>
      </c>
      <c r="W70">
        <v>504110.0625</v>
      </c>
      <c r="X70">
        <v>5012159.5</v>
      </c>
      <c r="Y70">
        <v>0</v>
      </c>
      <c r="AA70">
        <v>8</v>
      </c>
      <c r="AB70">
        <v>0.1477185</v>
      </c>
      <c r="AC70">
        <v>0.79400000000000004</v>
      </c>
      <c r="AD70">
        <v>0</v>
      </c>
      <c r="AE70">
        <v>5</v>
      </c>
      <c r="AF70">
        <v>0</v>
      </c>
      <c r="AG70">
        <v>0.5</v>
      </c>
      <c r="AH70">
        <v>0</v>
      </c>
      <c r="AI70">
        <v>31.052177400000001</v>
      </c>
      <c r="AJ70">
        <v>0.28987679999999999</v>
      </c>
      <c r="AK70">
        <v>0</v>
      </c>
      <c r="AL70">
        <v>0.93972290000000003</v>
      </c>
      <c r="AM70">
        <v>1</v>
      </c>
      <c r="AN70">
        <v>1</v>
      </c>
      <c r="AO70">
        <v>77</v>
      </c>
      <c r="AP70">
        <v>77</v>
      </c>
      <c r="AQ70">
        <v>1461</v>
      </c>
      <c r="AR70">
        <v>799</v>
      </c>
      <c r="AS70">
        <v>2025</v>
      </c>
      <c r="AT70" s="23">
        <v>45799</v>
      </c>
      <c r="AU70" s="23" t="s">
        <v>29</v>
      </c>
      <c r="AV70">
        <v>0</v>
      </c>
      <c r="AW70">
        <v>504110.05999999901</v>
      </c>
      <c r="AX70">
        <v>5012159.5</v>
      </c>
      <c r="AY70">
        <v>1256.63706143591</v>
      </c>
      <c r="AZ70">
        <v>125663.706143591</v>
      </c>
      <c r="BA70">
        <v>0.95278459999999998</v>
      </c>
      <c r="BB70">
        <v>0.44466090000000003</v>
      </c>
      <c r="BC70">
        <v>7.9580000000000004E-4</v>
      </c>
      <c r="BD70">
        <v>1.3061700000000001E-2</v>
      </c>
      <c r="BE70">
        <v>-0.495062</v>
      </c>
      <c r="BF70">
        <v>-0.93892710000000001</v>
      </c>
    </row>
    <row r="71" spans="1:58">
      <c r="A71">
        <v>1498</v>
      </c>
      <c r="B71" t="s">
        <v>142</v>
      </c>
      <c r="C71" t="s">
        <v>86</v>
      </c>
      <c r="D71" t="s">
        <v>137</v>
      </c>
      <c r="G71" s="23">
        <v>43668</v>
      </c>
      <c r="H71">
        <v>1</v>
      </c>
      <c r="I71">
        <v>1778</v>
      </c>
      <c r="J71">
        <v>6</v>
      </c>
      <c r="K71">
        <v>8</v>
      </c>
      <c r="L71">
        <v>8</v>
      </c>
      <c r="M71">
        <v>8</v>
      </c>
      <c r="N71">
        <v>0.59799999999999998</v>
      </c>
      <c r="O71">
        <v>0.79400000000000004</v>
      </c>
      <c r="P71">
        <v>0.79400000000000004</v>
      </c>
      <c r="Q71">
        <v>0.79400000000000004</v>
      </c>
      <c r="R71">
        <v>-122.94671630000001</v>
      </c>
      <c r="S71">
        <v>45.113670300000003</v>
      </c>
      <c r="T71">
        <v>7.5</v>
      </c>
      <c r="U71">
        <v>0.87470590000000004</v>
      </c>
      <c r="V71">
        <v>0.31094729999999998</v>
      </c>
      <c r="W71">
        <v>504191.4375</v>
      </c>
      <c r="X71">
        <v>4995579.5</v>
      </c>
      <c r="Y71">
        <v>0</v>
      </c>
      <c r="AA71">
        <v>8</v>
      </c>
      <c r="AB71">
        <v>0.240337</v>
      </c>
      <c r="AC71">
        <v>0.79400000000000004</v>
      </c>
      <c r="AD71">
        <v>0</v>
      </c>
      <c r="AE71">
        <v>8</v>
      </c>
      <c r="AF71">
        <v>0.299016</v>
      </c>
      <c r="AG71">
        <v>0.79400000000000004</v>
      </c>
      <c r="AH71">
        <v>0</v>
      </c>
      <c r="AI71">
        <v>31.052177400000001</v>
      </c>
      <c r="AJ71">
        <v>0.27752130000000003</v>
      </c>
      <c r="AK71">
        <v>0</v>
      </c>
      <c r="AL71">
        <v>0.87039739999999999</v>
      </c>
      <c r="AM71">
        <v>1</v>
      </c>
      <c r="AN71">
        <v>1</v>
      </c>
      <c r="AO71">
        <v>74</v>
      </c>
      <c r="AP71">
        <v>74</v>
      </c>
      <c r="AQ71">
        <v>1778</v>
      </c>
      <c r="AR71">
        <v>796</v>
      </c>
      <c r="AS71">
        <v>2025</v>
      </c>
      <c r="AT71" s="23">
        <v>45799</v>
      </c>
      <c r="AU71" s="23" t="s">
        <v>29</v>
      </c>
      <c r="AV71">
        <v>0</v>
      </c>
      <c r="AW71">
        <v>504191.429999999</v>
      </c>
      <c r="AX71">
        <v>4995579.5</v>
      </c>
      <c r="AY71">
        <v>1256.63706143591</v>
      </c>
      <c r="AZ71">
        <v>125663.706143591</v>
      </c>
      <c r="BA71">
        <v>7.9580000000000004E-4</v>
      </c>
      <c r="BB71">
        <v>7.9580000000000004E-4</v>
      </c>
      <c r="BC71">
        <v>0.13469890000000001</v>
      </c>
      <c r="BD71">
        <v>-0.86960159999999997</v>
      </c>
      <c r="BE71">
        <v>-0.86960159999999997</v>
      </c>
      <c r="BF71">
        <v>-0.73569850000000003</v>
      </c>
    </row>
    <row r="72" spans="1:58">
      <c r="A72">
        <v>1824</v>
      </c>
      <c r="B72" t="s">
        <v>143</v>
      </c>
      <c r="C72" t="s">
        <v>119</v>
      </c>
      <c r="G72" s="23">
        <v>43668</v>
      </c>
      <c r="H72">
        <v>2</v>
      </c>
      <c r="I72">
        <v>2036</v>
      </c>
      <c r="J72">
        <v>8</v>
      </c>
      <c r="K72">
        <v>8</v>
      </c>
      <c r="L72">
        <v>7</v>
      </c>
      <c r="M72">
        <v>7</v>
      </c>
      <c r="N72">
        <v>0.79400000000000004</v>
      </c>
      <c r="O72">
        <v>0.79400000000000004</v>
      </c>
      <c r="P72">
        <v>0.69599999999999995</v>
      </c>
      <c r="Q72">
        <v>0.69599999999999995</v>
      </c>
      <c r="R72">
        <v>-123.0814056</v>
      </c>
      <c r="S72">
        <v>44.519401600000002</v>
      </c>
      <c r="T72">
        <v>7.5</v>
      </c>
      <c r="U72">
        <v>0.87470590000000004</v>
      </c>
      <c r="V72">
        <v>9.7806199999999996E-2</v>
      </c>
      <c r="W72">
        <v>493530.71875</v>
      </c>
      <c r="X72">
        <v>4929567.5</v>
      </c>
      <c r="Y72">
        <v>1</v>
      </c>
      <c r="Z72">
        <v>0</v>
      </c>
      <c r="AA72">
        <v>5</v>
      </c>
      <c r="AB72">
        <v>0</v>
      </c>
      <c r="AC72">
        <v>0.5</v>
      </c>
      <c r="AD72">
        <v>0</v>
      </c>
      <c r="AE72">
        <v>6</v>
      </c>
      <c r="AF72">
        <v>2.7122000000000001E-3</v>
      </c>
      <c r="AG72">
        <v>0.59799999999999998</v>
      </c>
      <c r="AH72">
        <v>0</v>
      </c>
      <c r="AI72">
        <v>31.052177400000001</v>
      </c>
      <c r="AJ72">
        <v>1E-4</v>
      </c>
      <c r="AK72">
        <v>0</v>
      </c>
      <c r="AL72">
        <v>0.24972929999999999</v>
      </c>
      <c r="AM72">
        <v>1</v>
      </c>
      <c r="AN72">
        <v>1</v>
      </c>
      <c r="AO72">
        <v>51</v>
      </c>
      <c r="AP72">
        <v>51</v>
      </c>
      <c r="AQ72">
        <v>2036</v>
      </c>
      <c r="AR72">
        <v>773</v>
      </c>
      <c r="AS72">
        <v>2025</v>
      </c>
      <c r="AT72" s="23">
        <v>45799</v>
      </c>
      <c r="AU72" s="23" t="s">
        <v>29</v>
      </c>
      <c r="AV72">
        <v>0</v>
      </c>
      <c r="AW72">
        <v>493530.71</v>
      </c>
      <c r="AX72">
        <v>4929567.5</v>
      </c>
      <c r="AY72">
        <v>1256.63706143591</v>
      </c>
      <c r="AZ72">
        <v>125663.706143591</v>
      </c>
      <c r="BA72">
        <v>7.9580000000000004E-4</v>
      </c>
      <c r="BB72">
        <v>7.9580000000000004E-4</v>
      </c>
      <c r="BC72">
        <v>7.9580000000000004E-4</v>
      </c>
      <c r="BD72">
        <v>-0.2489335</v>
      </c>
      <c r="BE72">
        <v>-0.2489335</v>
      </c>
      <c r="BF72">
        <v>-0.2489335</v>
      </c>
    </row>
    <row r="73" spans="1:58">
      <c r="A73">
        <v>2355</v>
      </c>
      <c r="B73" t="s">
        <v>143</v>
      </c>
      <c r="C73" t="s">
        <v>119</v>
      </c>
      <c r="G73" s="23">
        <v>43668</v>
      </c>
      <c r="H73">
        <v>2</v>
      </c>
      <c r="I73">
        <v>2490</v>
      </c>
      <c r="J73">
        <v>5</v>
      </c>
      <c r="K73">
        <v>7</v>
      </c>
      <c r="L73">
        <v>7</v>
      </c>
      <c r="M73">
        <v>7</v>
      </c>
      <c r="N73">
        <v>0.5</v>
      </c>
      <c r="O73">
        <v>0.69599999999999995</v>
      </c>
      <c r="P73">
        <v>0.69599999999999995</v>
      </c>
      <c r="Q73">
        <v>0.69599999999999995</v>
      </c>
      <c r="R73">
        <v>-123.094162</v>
      </c>
      <c r="S73">
        <v>44.522270200000001</v>
      </c>
      <c r="T73">
        <v>6.5</v>
      </c>
      <c r="U73">
        <v>0.75941179999999997</v>
      </c>
      <c r="V73">
        <v>5.6073E-3</v>
      </c>
      <c r="W73">
        <v>492517.125</v>
      </c>
      <c r="X73">
        <v>4929887.5</v>
      </c>
      <c r="Y73">
        <v>0</v>
      </c>
      <c r="AA73">
        <v>10</v>
      </c>
      <c r="AB73">
        <v>0.41160099999999999</v>
      </c>
      <c r="AC73">
        <v>0.99</v>
      </c>
      <c r="AD73">
        <v>0</v>
      </c>
      <c r="AE73">
        <v>4</v>
      </c>
      <c r="AF73">
        <v>0</v>
      </c>
      <c r="AG73">
        <v>0.40200000000000002</v>
      </c>
      <c r="AH73">
        <v>0</v>
      </c>
      <c r="AI73">
        <v>31.052177400000001</v>
      </c>
      <c r="AJ73">
        <v>1E-4</v>
      </c>
      <c r="AK73">
        <v>0</v>
      </c>
      <c r="AL73">
        <v>0.1743064</v>
      </c>
      <c r="AM73">
        <v>1</v>
      </c>
      <c r="AN73">
        <v>1</v>
      </c>
      <c r="AO73">
        <v>50</v>
      </c>
      <c r="AP73">
        <v>50</v>
      </c>
      <c r="AQ73">
        <v>2490</v>
      </c>
      <c r="AR73">
        <v>772</v>
      </c>
      <c r="AS73">
        <v>2025</v>
      </c>
      <c r="AT73" s="23">
        <v>45799</v>
      </c>
      <c r="AU73" s="23" t="s">
        <v>29</v>
      </c>
      <c r="AV73">
        <v>0</v>
      </c>
      <c r="AW73">
        <v>492517.11999999901</v>
      </c>
      <c r="AX73">
        <v>4929887.5</v>
      </c>
      <c r="AY73">
        <v>1256.63706143591</v>
      </c>
      <c r="AZ73">
        <v>125663.706143591</v>
      </c>
      <c r="BA73">
        <v>0.34223690000000001</v>
      </c>
      <c r="BB73">
        <v>0.70884780000000003</v>
      </c>
      <c r="BC73">
        <v>0.70805010000000002</v>
      </c>
      <c r="BD73">
        <v>0.16793050000000001</v>
      </c>
      <c r="BE73">
        <v>0.53454140000000006</v>
      </c>
      <c r="BF73">
        <v>0.53374370000000004</v>
      </c>
    </row>
    <row r="74" spans="1:58">
      <c r="A74">
        <v>4620</v>
      </c>
      <c r="B74" t="s">
        <v>144</v>
      </c>
      <c r="C74" t="s">
        <v>88</v>
      </c>
      <c r="D74" t="s">
        <v>93</v>
      </c>
      <c r="G74" s="23">
        <v>43668</v>
      </c>
      <c r="H74">
        <v>1</v>
      </c>
      <c r="I74">
        <v>4224</v>
      </c>
      <c r="J74">
        <v>6</v>
      </c>
      <c r="K74">
        <v>5</v>
      </c>
      <c r="L74">
        <v>6</v>
      </c>
      <c r="M74">
        <v>6</v>
      </c>
      <c r="N74">
        <v>0.59799999999999998</v>
      </c>
      <c r="O74">
        <v>0.5</v>
      </c>
      <c r="P74">
        <v>0.59799999999999998</v>
      </c>
      <c r="Q74">
        <v>0.59799999999999998</v>
      </c>
      <c r="R74">
        <v>-123.0030136</v>
      </c>
      <c r="S74">
        <v>44.8099785</v>
      </c>
      <c r="T74">
        <v>5.75</v>
      </c>
      <c r="U74">
        <v>0.67294109999999996</v>
      </c>
      <c r="V74">
        <v>0</v>
      </c>
      <c r="W74">
        <v>499761.9375</v>
      </c>
      <c r="X74">
        <v>4961842</v>
      </c>
      <c r="Y74">
        <v>0</v>
      </c>
      <c r="AA74">
        <v>5</v>
      </c>
      <c r="AB74">
        <v>5.4830000000000005E-4</v>
      </c>
      <c r="AC74">
        <v>0.5</v>
      </c>
      <c r="AD74">
        <v>0</v>
      </c>
      <c r="AE74">
        <v>6</v>
      </c>
      <c r="AF74">
        <v>2.9407000000000001E-3</v>
      </c>
      <c r="AG74">
        <v>0.59799999999999998</v>
      </c>
      <c r="AH74">
        <v>0</v>
      </c>
      <c r="AI74">
        <v>31.052177400000001</v>
      </c>
      <c r="AJ74">
        <v>7.9580000000000004E-4</v>
      </c>
      <c r="AK74">
        <v>0</v>
      </c>
      <c r="AL74">
        <v>1E-3</v>
      </c>
      <c r="AM74">
        <v>0</v>
      </c>
      <c r="AN74">
        <v>1</v>
      </c>
      <c r="AO74">
        <v>75</v>
      </c>
      <c r="AP74">
        <v>75</v>
      </c>
      <c r="AQ74">
        <v>4224</v>
      </c>
      <c r="AR74">
        <v>797</v>
      </c>
      <c r="AS74">
        <v>2025</v>
      </c>
      <c r="AT74" s="23">
        <v>45799</v>
      </c>
      <c r="AU74" s="23" t="s">
        <v>29</v>
      </c>
      <c r="AV74">
        <v>0</v>
      </c>
      <c r="AW74">
        <v>499761.929999999</v>
      </c>
      <c r="AX74">
        <v>4961842</v>
      </c>
      <c r="AY74">
        <v>1256.63706143591</v>
      </c>
      <c r="AZ74">
        <v>125663.706143591</v>
      </c>
      <c r="BA74">
        <v>1.5915E-3</v>
      </c>
      <c r="BB74">
        <v>7.2590000000000003E-4</v>
      </c>
      <c r="BC74">
        <v>7.2610000000000003E-4</v>
      </c>
      <c r="BD74">
        <v>5.9150000000000001E-4</v>
      </c>
      <c r="BE74">
        <v>-2.7409999999999999E-4</v>
      </c>
      <c r="BF74">
        <v>-2.7389999999999999E-4</v>
      </c>
    </row>
    <row r="75" spans="1:58">
      <c r="A75">
        <v>4669</v>
      </c>
      <c r="B75" t="s">
        <v>145</v>
      </c>
      <c r="C75" t="s">
        <v>146</v>
      </c>
      <c r="D75" t="s">
        <v>137</v>
      </c>
      <c r="G75" s="23">
        <v>43668</v>
      </c>
      <c r="H75">
        <v>1</v>
      </c>
      <c r="I75">
        <v>4258</v>
      </c>
      <c r="J75">
        <v>6</v>
      </c>
      <c r="K75">
        <v>7</v>
      </c>
      <c r="L75">
        <v>6</v>
      </c>
      <c r="M75">
        <v>8</v>
      </c>
      <c r="N75">
        <v>0.59799999999999998</v>
      </c>
      <c r="O75">
        <v>0.69599999999999995</v>
      </c>
      <c r="P75">
        <v>0.59799999999999998</v>
      </c>
      <c r="Q75">
        <v>0.79400000000000004</v>
      </c>
      <c r="R75">
        <v>-122.9557648</v>
      </c>
      <c r="S75">
        <v>45.035766600000002</v>
      </c>
      <c r="T75">
        <v>6.75</v>
      </c>
      <c r="U75">
        <v>0.78823529999999997</v>
      </c>
      <c r="V75">
        <v>3.1479600000000003E-2</v>
      </c>
      <c r="W75">
        <v>503484.5</v>
      </c>
      <c r="X75">
        <v>4986924.5</v>
      </c>
      <c r="Y75">
        <v>0</v>
      </c>
      <c r="AA75">
        <v>5</v>
      </c>
      <c r="AB75">
        <v>0</v>
      </c>
      <c r="AC75">
        <v>0.5</v>
      </c>
      <c r="AD75">
        <v>0</v>
      </c>
      <c r="AE75">
        <v>7</v>
      </c>
      <c r="AF75">
        <v>0.1158288</v>
      </c>
      <c r="AG75">
        <v>0.69599999999999995</v>
      </c>
      <c r="AH75">
        <v>0</v>
      </c>
      <c r="AI75">
        <v>31.052177400000001</v>
      </c>
      <c r="AJ75">
        <v>2.0409900000000002E-2</v>
      </c>
      <c r="AK75">
        <v>0</v>
      </c>
      <c r="AL75">
        <v>0.38758229999999999</v>
      </c>
      <c r="AM75">
        <v>1</v>
      </c>
      <c r="AN75">
        <v>1</v>
      </c>
      <c r="AO75">
        <v>80</v>
      </c>
      <c r="AP75">
        <v>80</v>
      </c>
      <c r="AQ75">
        <v>4258</v>
      </c>
      <c r="AR75">
        <v>802</v>
      </c>
      <c r="AS75">
        <v>2025</v>
      </c>
      <c r="AT75" s="23">
        <v>45799</v>
      </c>
      <c r="AU75" s="23" t="s">
        <v>29</v>
      </c>
      <c r="AV75">
        <v>0</v>
      </c>
      <c r="AW75">
        <v>503484.5</v>
      </c>
      <c r="AX75">
        <v>4986924.5</v>
      </c>
      <c r="AY75">
        <v>1256.63706143591</v>
      </c>
      <c r="AZ75">
        <v>125663.706143591</v>
      </c>
      <c r="BA75">
        <v>7.9580000000000004E-4</v>
      </c>
      <c r="BB75">
        <v>7.9580000000000004E-4</v>
      </c>
      <c r="BC75">
        <v>1.5915E-3</v>
      </c>
      <c r="BD75">
        <v>-0.38678659999999998</v>
      </c>
      <c r="BE75">
        <v>-0.38678659999999998</v>
      </c>
      <c r="BF75">
        <v>-0.38599080000000002</v>
      </c>
    </row>
    <row r="76" spans="1:58">
      <c r="A76">
        <v>4990</v>
      </c>
      <c r="B76" t="s">
        <v>147</v>
      </c>
      <c r="C76" t="s">
        <v>86</v>
      </c>
      <c r="D76" t="s">
        <v>148</v>
      </c>
      <c r="G76" s="23">
        <v>43668</v>
      </c>
      <c r="H76">
        <v>1</v>
      </c>
      <c r="I76">
        <v>4497</v>
      </c>
      <c r="J76">
        <v>6</v>
      </c>
      <c r="K76">
        <v>7</v>
      </c>
      <c r="L76">
        <v>6</v>
      </c>
      <c r="M76">
        <v>6</v>
      </c>
      <c r="N76">
        <v>0.59799999999999998</v>
      </c>
      <c r="O76">
        <v>0.69599999999999995</v>
      </c>
      <c r="P76">
        <v>0.59799999999999998</v>
      </c>
      <c r="Q76">
        <v>0.59799999999999998</v>
      </c>
      <c r="R76">
        <v>-123.0508423</v>
      </c>
      <c r="S76">
        <v>45.034080500000002</v>
      </c>
      <c r="T76">
        <v>6.25</v>
      </c>
      <c r="U76">
        <v>0.73058829999999997</v>
      </c>
      <c r="V76">
        <v>0</v>
      </c>
      <c r="W76">
        <v>495995.0625</v>
      </c>
      <c r="X76">
        <v>4986737.5</v>
      </c>
      <c r="Y76">
        <v>0</v>
      </c>
      <c r="AA76">
        <v>7</v>
      </c>
      <c r="AB76">
        <v>0.1500948</v>
      </c>
      <c r="AC76">
        <v>0.69599999999999995</v>
      </c>
      <c r="AD76">
        <v>0</v>
      </c>
      <c r="AE76">
        <v>8</v>
      </c>
      <c r="AF76">
        <v>0.21191579999999999</v>
      </c>
      <c r="AG76">
        <v>0.79400000000000004</v>
      </c>
      <c r="AH76">
        <v>0</v>
      </c>
      <c r="AI76">
        <v>31.052177400000001</v>
      </c>
      <c r="AJ76">
        <v>0.2245885</v>
      </c>
      <c r="AK76">
        <v>0</v>
      </c>
      <c r="AL76">
        <v>0.30074810000000002</v>
      </c>
      <c r="AM76">
        <v>1</v>
      </c>
      <c r="AN76">
        <v>1</v>
      </c>
      <c r="AO76">
        <v>81</v>
      </c>
      <c r="AP76">
        <v>81</v>
      </c>
      <c r="AQ76">
        <v>4497</v>
      </c>
      <c r="AR76">
        <v>803</v>
      </c>
      <c r="AS76">
        <v>2025</v>
      </c>
      <c r="AT76" s="23">
        <v>45799</v>
      </c>
      <c r="AU76" s="23" t="s">
        <v>29</v>
      </c>
      <c r="AV76">
        <v>0</v>
      </c>
      <c r="AW76">
        <v>495995.05999999901</v>
      </c>
      <c r="AX76">
        <v>4986737.5</v>
      </c>
      <c r="AY76">
        <v>1256.63706143591</v>
      </c>
      <c r="AZ76">
        <v>125663.706143591</v>
      </c>
      <c r="BA76">
        <v>0.32863320000000001</v>
      </c>
      <c r="BB76">
        <v>0.31395299999999998</v>
      </c>
      <c r="BC76">
        <v>1.16469E-2</v>
      </c>
      <c r="BD76">
        <v>2.7885E-2</v>
      </c>
      <c r="BE76">
        <v>1.3204799999999999E-2</v>
      </c>
      <c r="BF76">
        <v>-0.2891012</v>
      </c>
    </row>
    <row r="77" spans="1:58">
      <c r="A77">
        <v>6103</v>
      </c>
      <c r="B77" t="s">
        <v>149</v>
      </c>
      <c r="C77" t="s">
        <v>88</v>
      </c>
      <c r="G77" s="23">
        <v>43668</v>
      </c>
      <c r="H77">
        <v>2</v>
      </c>
      <c r="I77">
        <v>5315</v>
      </c>
      <c r="J77">
        <v>6</v>
      </c>
      <c r="K77">
        <v>8</v>
      </c>
      <c r="L77">
        <v>6</v>
      </c>
      <c r="M77">
        <v>8</v>
      </c>
      <c r="N77">
        <v>0.59799999999999998</v>
      </c>
      <c r="O77">
        <v>0.79400000000000004</v>
      </c>
      <c r="P77">
        <v>0.59799999999999998</v>
      </c>
      <c r="Q77">
        <v>0.79400000000000004</v>
      </c>
      <c r="R77">
        <v>-123.16271209999999</v>
      </c>
      <c r="S77">
        <v>44.526752500000001</v>
      </c>
      <c r="T77">
        <v>7</v>
      </c>
      <c r="U77">
        <v>0.81705879999999997</v>
      </c>
      <c r="V77">
        <v>2.45089E-2</v>
      </c>
      <c r="W77">
        <v>487070.59375</v>
      </c>
      <c r="X77">
        <v>4930393.5</v>
      </c>
      <c r="Y77">
        <v>1</v>
      </c>
      <c r="Z77">
        <v>1</v>
      </c>
      <c r="AA77">
        <v>4</v>
      </c>
      <c r="AB77">
        <v>0</v>
      </c>
      <c r="AC77">
        <v>0.40200000000000002</v>
      </c>
      <c r="AD77">
        <v>0</v>
      </c>
      <c r="AE77">
        <v>8</v>
      </c>
      <c r="AF77">
        <v>0.34013369999999998</v>
      </c>
      <c r="AG77">
        <v>0.79400000000000004</v>
      </c>
      <c r="AH77">
        <v>0</v>
      </c>
      <c r="AI77">
        <v>31.052177400000001</v>
      </c>
      <c r="AJ77">
        <v>1E-4</v>
      </c>
      <c r="AK77">
        <v>0</v>
      </c>
      <c r="AL77">
        <v>0.16433619999999999</v>
      </c>
      <c r="AM77">
        <v>1</v>
      </c>
      <c r="AN77">
        <v>1</v>
      </c>
      <c r="AO77">
        <v>56</v>
      </c>
      <c r="AP77">
        <v>56</v>
      </c>
      <c r="AQ77">
        <v>5315</v>
      </c>
      <c r="AR77">
        <v>778</v>
      </c>
      <c r="AS77">
        <v>2025</v>
      </c>
      <c r="AT77" s="23">
        <v>45799</v>
      </c>
      <c r="AU77" s="23" t="s">
        <v>29</v>
      </c>
      <c r="AV77">
        <v>0</v>
      </c>
      <c r="AW77">
        <v>487070.59</v>
      </c>
      <c r="AX77">
        <v>4930393.5</v>
      </c>
      <c r="AY77">
        <v>1256.63706143591</v>
      </c>
      <c r="AZ77">
        <v>125663.706143591</v>
      </c>
      <c r="BA77">
        <v>1.5915E-3</v>
      </c>
      <c r="BB77">
        <v>2.2281100000000002E-2</v>
      </c>
      <c r="BC77">
        <v>1.5915E-3</v>
      </c>
      <c r="BD77">
        <v>-0.16274469999999999</v>
      </c>
      <c r="BE77">
        <v>-0.14205509999999999</v>
      </c>
      <c r="BF77">
        <v>-0.16274469999999999</v>
      </c>
    </row>
    <row r="78" spans="1:58">
      <c r="A78">
        <v>6132</v>
      </c>
      <c r="B78" t="s">
        <v>138</v>
      </c>
      <c r="C78" t="s">
        <v>88</v>
      </c>
      <c r="G78" s="23">
        <v>43668</v>
      </c>
      <c r="H78">
        <v>2</v>
      </c>
      <c r="I78">
        <v>5328</v>
      </c>
      <c r="J78">
        <v>7</v>
      </c>
      <c r="K78">
        <v>6</v>
      </c>
      <c r="L78">
        <v>3</v>
      </c>
      <c r="M78">
        <v>5</v>
      </c>
      <c r="N78">
        <v>0.69599999999999995</v>
      </c>
      <c r="O78">
        <v>0.59799999999999998</v>
      </c>
      <c r="P78">
        <v>0.30399999999999999</v>
      </c>
      <c r="Q78">
        <v>0.5</v>
      </c>
      <c r="R78">
        <v>-123.1189651</v>
      </c>
      <c r="S78">
        <v>44.533161200000002</v>
      </c>
      <c r="T78">
        <v>5.25</v>
      </c>
      <c r="U78">
        <v>0.61529409999999995</v>
      </c>
      <c r="V78">
        <v>0</v>
      </c>
      <c r="W78">
        <v>490548.0625</v>
      </c>
      <c r="X78">
        <v>4931099.5</v>
      </c>
      <c r="Y78">
        <v>0</v>
      </c>
      <c r="AA78">
        <v>3</v>
      </c>
      <c r="AB78">
        <v>0</v>
      </c>
      <c r="AC78">
        <v>0.30399999999999999</v>
      </c>
      <c r="AD78">
        <v>0</v>
      </c>
      <c r="AE78">
        <v>5</v>
      </c>
      <c r="AF78">
        <v>5.4940000000000002E-4</v>
      </c>
      <c r="AG78">
        <v>0.5</v>
      </c>
      <c r="AH78">
        <v>0</v>
      </c>
      <c r="AI78">
        <v>31.052177400000001</v>
      </c>
      <c r="AJ78">
        <v>0.23805290000000001</v>
      </c>
      <c r="AK78">
        <v>1</v>
      </c>
      <c r="AL78">
        <v>0.2474384</v>
      </c>
      <c r="AM78">
        <v>1</v>
      </c>
      <c r="AN78">
        <v>1</v>
      </c>
      <c r="AO78">
        <v>52</v>
      </c>
      <c r="AP78">
        <v>52</v>
      </c>
      <c r="AQ78">
        <v>5328</v>
      </c>
      <c r="AR78">
        <v>774</v>
      </c>
      <c r="AS78">
        <v>2025</v>
      </c>
      <c r="AT78" s="23">
        <v>45799</v>
      </c>
      <c r="AU78" s="23" t="s">
        <v>29</v>
      </c>
      <c r="AV78">
        <v>0</v>
      </c>
      <c r="AW78">
        <v>490548.05999999901</v>
      </c>
      <c r="AX78">
        <v>4931099.5</v>
      </c>
      <c r="AY78">
        <v>1256.63706143591</v>
      </c>
      <c r="AZ78">
        <v>125663.706143591</v>
      </c>
      <c r="BA78">
        <v>0.22180269999999999</v>
      </c>
      <c r="BB78">
        <v>0.25090800000000002</v>
      </c>
      <c r="BC78">
        <v>0.2632467</v>
      </c>
      <c r="BD78">
        <v>-2.56358E-2</v>
      </c>
      <c r="BE78">
        <v>3.4694999999999999E-3</v>
      </c>
      <c r="BF78">
        <v>1.5808200000000001E-2</v>
      </c>
    </row>
    <row r="79" spans="1:58">
      <c r="A79">
        <v>6652</v>
      </c>
      <c r="B79" t="s">
        <v>150</v>
      </c>
      <c r="C79" t="s">
        <v>86</v>
      </c>
      <c r="G79" s="23">
        <v>43668</v>
      </c>
      <c r="H79">
        <v>2</v>
      </c>
      <c r="I79">
        <v>5691</v>
      </c>
      <c r="J79">
        <v>7</v>
      </c>
      <c r="K79">
        <v>8</v>
      </c>
      <c r="L79">
        <v>8</v>
      </c>
      <c r="M79">
        <v>8</v>
      </c>
      <c r="N79">
        <v>0.69599999999999995</v>
      </c>
      <c r="O79">
        <v>0.79400000000000004</v>
      </c>
      <c r="P79">
        <v>0.79400000000000004</v>
      </c>
      <c r="Q79">
        <v>0.79400000000000004</v>
      </c>
      <c r="R79">
        <v>-123.14246369999999</v>
      </c>
      <c r="S79">
        <v>44.510620099999997</v>
      </c>
      <c r="T79">
        <v>7.75</v>
      </c>
      <c r="U79">
        <v>0.90352940000000004</v>
      </c>
      <c r="V79">
        <v>0.5251846</v>
      </c>
      <c r="W79">
        <v>488676.75</v>
      </c>
      <c r="X79">
        <v>4928599</v>
      </c>
      <c r="Y79">
        <v>0</v>
      </c>
      <c r="AA79">
        <v>4</v>
      </c>
      <c r="AB79">
        <v>0</v>
      </c>
      <c r="AC79">
        <v>0.40200000000000002</v>
      </c>
      <c r="AD79">
        <v>0</v>
      </c>
      <c r="AE79">
        <v>5</v>
      </c>
      <c r="AF79">
        <v>0</v>
      </c>
      <c r="AG79">
        <v>0.5</v>
      </c>
      <c r="AH79">
        <v>0</v>
      </c>
      <c r="AI79">
        <v>31.052177400000001</v>
      </c>
      <c r="AJ79">
        <v>1E-4</v>
      </c>
      <c r="AK79">
        <v>0</v>
      </c>
      <c r="AL79">
        <v>0.13723850000000001</v>
      </c>
      <c r="AM79">
        <v>1</v>
      </c>
      <c r="AN79">
        <v>1</v>
      </c>
      <c r="AO79">
        <v>54</v>
      </c>
      <c r="AP79">
        <v>54</v>
      </c>
      <c r="AQ79">
        <v>5691</v>
      </c>
      <c r="AR79">
        <v>776</v>
      </c>
      <c r="AS79">
        <v>2025</v>
      </c>
      <c r="AT79" s="23">
        <v>45799</v>
      </c>
      <c r="AU79" s="23" t="s">
        <v>29</v>
      </c>
      <c r="AV79">
        <v>0</v>
      </c>
      <c r="AW79">
        <v>488676.75</v>
      </c>
      <c r="AX79">
        <v>4928599</v>
      </c>
      <c r="AY79">
        <v>1256.63706143591</v>
      </c>
      <c r="AZ79">
        <v>125663.706143591</v>
      </c>
      <c r="BA79">
        <v>0</v>
      </c>
      <c r="BB79">
        <v>7.9580000000000004E-4</v>
      </c>
      <c r="BC79">
        <v>3.1830999999999999E-3</v>
      </c>
      <c r="BD79">
        <v>-0.13723850000000001</v>
      </c>
      <c r="BE79">
        <v>-0.1364427</v>
      </c>
      <c r="BF79">
        <v>-0.13405539999999999</v>
      </c>
    </row>
    <row r="80" spans="1:58">
      <c r="A80">
        <v>6653</v>
      </c>
      <c r="B80" t="s">
        <v>150</v>
      </c>
      <c r="C80" t="s">
        <v>86</v>
      </c>
      <c r="G80" s="23">
        <v>43668</v>
      </c>
      <c r="H80">
        <v>2</v>
      </c>
      <c r="I80">
        <v>5692</v>
      </c>
      <c r="J80">
        <v>5</v>
      </c>
      <c r="K80">
        <v>8</v>
      </c>
      <c r="L80">
        <v>6</v>
      </c>
      <c r="M80">
        <v>8</v>
      </c>
      <c r="N80">
        <v>0.5</v>
      </c>
      <c r="O80">
        <v>0.79400000000000004</v>
      </c>
      <c r="P80">
        <v>0.59799999999999998</v>
      </c>
      <c r="Q80">
        <v>0.79400000000000004</v>
      </c>
      <c r="R80">
        <v>-123.14244840000001</v>
      </c>
      <c r="S80">
        <v>44.516471899999999</v>
      </c>
      <c r="T80">
        <v>6.75</v>
      </c>
      <c r="U80">
        <v>0.78823529999999997</v>
      </c>
      <c r="V80">
        <v>0.81078839999999996</v>
      </c>
      <c r="W80">
        <v>488679.125</v>
      </c>
      <c r="X80">
        <v>4929249</v>
      </c>
      <c r="Y80">
        <v>0</v>
      </c>
      <c r="AA80">
        <v>1</v>
      </c>
      <c r="AB80">
        <v>0</v>
      </c>
      <c r="AC80">
        <v>0.108</v>
      </c>
      <c r="AD80">
        <v>0</v>
      </c>
      <c r="AE80">
        <v>2</v>
      </c>
      <c r="AF80">
        <v>0</v>
      </c>
      <c r="AG80">
        <v>0.20599999999999999</v>
      </c>
      <c r="AH80">
        <v>0</v>
      </c>
      <c r="AI80">
        <v>31.052177400000001</v>
      </c>
      <c r="AJ80">
        <v>1E-4</v>
      </c>
      <c r="AK80">
        <v>0</v>
      </c>
      <c r="AL80">
        <v>0.2354349</v>
      </c>
      <c r="AM80">
        <v>1</v>
      </c>
      <c r="AN80">
        <v>1</v>
      </c>
      <c r="AO80">
        <v>55</v>
      </c>
      <c r="AP80">
        <v>55</v>
      </c>
      <c r="AQ80">
        <v>5692</v>
      </c>
      <c r="AR80">
        <v>777</v>
      </c>
      <c r="AS80">
        <v>2025</v>
      </c>
      <c r="AT80" s="23">
        <v>45799</v>
      </c>
      <c r="AU80" s="23" t="s">
        <v>29</v>
      </c>
      <c r="AV80">
        <v>0</v>
      </c>
      <c r="AW80">
        <v>488679.11999999901</v>
      </c>
      <c r="AX80">
        <v>4929249</v>
      </c>
      <c r="AY80">
        <v>1256.63706143591</v>
      </c>
      <c r="AZ80">
        <v>125663.706143591</v>
      </c>
      <c r="BA80">
        <v>0.2633374</v>
      </c>
      <c r="BB80">
        <v>0.28385729999999998</v>
      </c>
      <c r="BC80">
        <v>0.32197209999999998</v>
      </c>
      <c r="BD80">
        <v>2.79025E-2</v>
      </c>
      <c r="BE80">
        <v>4.84225E-2</v>
      </c>
      <c r="BF80">
        <v>8.6537199999999995E-2</v>
      </c>
    </row>
    <row r="81" spans="1:58">
      <c r="A81">
        <v>6784</v>
      </c>
      <c r="B81" t="s">
        <v>151</v>
      </c>
      <c r="C81" t="s">
        <v>88</v>
      </c>
      <c r="G81" s="23">
        <v>43668</v>
      </c>
      <c r="H81">
        <v>2</v>
      </c>
      <c r="I81">
        <v>5804</v>
      </c>
      <c r="J81">
        <v>8</v>
      </c>
      <c r="K81">
        <v>5</v>
      </c>
      <c r="L81">
        <v>8</v>
      </c>
      <c r="M81">
        <v>6</v>
      </c>
      <c r="N81">
        <v>0.79400000000000004</v>
      </c>
      <c r="O81">
        <v>0.5</v>
      </c>
      <c r="P81">
        <v>0.79400000000000004</v>
      </c>
      <c r="Q81">
        <v>0.59799999999999998</v>
      </c>
      <c r="R81">
        <v>-123.03271479999999</v>
      </c>
      <c r="S81">
        <v>44.504898099999998</v>
      </c>
      <c r="T81">
        <v>6.75</v>
      </c>
      <c r="U81">
        <v>0.78823529999999997</v>
      </c>
      <c r="V81">
        <v>0</v>
      </c>
      <c r="W81">
        <v>497399.375</v>
      </c>
      <c r="X81">
        <v>4927954</v>
      </c>
      <c r="Y81">
        <v>0</v>
      </c>
      <c r="AA81">
        <v>6</v>
      </c>
      <c r="AB81">
        <v>0</v>
      </c>
      <c r="AC81">
        <v>0.59799999999999998</v>
      </c>
      <c r="AD81">
        <v>1</v>
      </c>
      <c r="AE81">
        <v>8</v>
      </c>
      <c r="AF81">
        <v>0.27971980000000002</v>
      </c>
      <c r="AG81">
        <v>0.79400000000000004</v>
      </c>
      <c r="AH81">
        <v>0</v>
      </c>
      <c r="AI81">
        <v>31.052177400000001</v>
      </c>
      <c r="AJ81">
        <v>1E-4</v>
      </c>
      <c r="AK81">
        <v>0</v>
      </c>
      <c r="AL81">
        <v>0.44209100000000001</v>
      </c>
      <c r="AM81">
        <v>1</v>
      </c>
      <c r="AN81">
        <v>1</v>
      </c>
      <c r="AO81">
        <v>49</v>
      </c>
      <c r="AP81">
        <v>49</v>
      </c>
      <c r="AQ81">
        <v>5804</v>
      </c>
      <c r="AR81">
        <v>771</v>
      </c>
      <c r="AS81">
        <v>2025</v>
      </c>
      <c r="AT81" s="23">
        <v>45799</v>
      </c>
      <c r="AU81" s="23" t="s">
        <v>29</v>
      </c>
      <c r="AV81">
        <v>1</v>
      </c>
      <c r="AW81">
        <v>497399.36999999901</v>
      </c>
      <c r="AX81">
        <v>4927954</v>
      </c>
      <c r="AY81">
        <v>1256.63706143591</v>
      </c>
      <c r="AZ81">
        <v>125663.706143591</v>
      </c>
      <c r="BA81">
        <v>0.1259904</v>
      </c>
      <c r="BB81">
        <v>0.12280729999999999</v>
      </c>
      <c r="BC81">
        <v>0.122808</v>
      </c>
      <c r="BD81">
        <v>-0.31610060000000001</v>
      </c>
      <c r="BE81">
        <v>-0.3192837</v>
      </c>
      <c r="BF81">
        <v>-0.31928299999999998</v>
      </c>
    </row>
    <row r="82" spans="1:58">
      <c r="A82">
        <v>6789</v>
      </c>
      <c r="B82" t="s">
        <v>152</v>
      </c>
      <c r="C82" t="s">
        <v>88</v>
      </c>
      <c r="G82" s="23">
        <v>43668</v>
      </c>
      <c r="H82">
        <v>2</v>
      </c>
      <c r="I82">
        <v>5808</v>
      </c>
      <c r="J82">
        <v>5</v>
      </c>
      <c r="K82">
        <v>8</v>
      </c>
      <c r="L82">
        <v>6</v>
      </c>
      <c r="M82">
        <v>8</v>
      </c>
      <c r="N82">
        <v>0.5</v>
      </c>
      <c r="O82">
        <v>0.79400000000000004</v>
      </c>
      <c r="P82">
        <v>0.59799999999999998</v>
      </c>
      <c r="Q82">
        <v>0.79400000000000004</v>
      </c>
      <c r="R82">
        <v>-123.16799159999999</v>
      </c>
      <c r="S82">
        <v>44.512306199999998</v>
      </c>
      <c r="T82">
        <v>6.75</v>
      </c>
      <c r="U82">
        <v>0.78823529999999997</v>
      </c>
      <c r="V82">
        <v>0.6042746</v>
      </c>
      <c r="W82">
        <v>486647.625</v>
      </c>
      <c r="X82">
        <v>4928790</v>
      </c>
      <c r="Y82">
        <v>0</v>
      </c>
      <c r="AA82">
        <v>3</v>
      </c>
      <c r="AB82">
        <v>0</v>
      </c>
      <c r="AC82">
        <v>0.30399999999999999</v>
      </c>
      <c r="AD82">
        <v>0</v>
      </c>
      <c r="AE82">
        <v>8</v>
      </c>
      <c r="AF82">
        <v>0.141929</v>
      </c>
      <c r="AG82">
        <v>0.79400000000000004</v>
      </c>
      <c r="AH82">
        <v>0</v>
      </c>
      <c r="AI82">
        <v>31.052177400000001</v>
      </c>
      <c r="AJ82">
        <v>0.281835</v>
      </c>
      <c r="AK82">
        <v>1</v>
      </c>
      <c r="AL82">
        <v>0.15866669999999999</v>
      </c>
      <c r="AM82">
        <v>1</v>
      </c>
      <c r="AN82">
        <v>1</v>
      </c>
      <c r="AO82">
        <v>47</v>
      </c>
      <c r="AP82">
        <v>47</v>
      </c>
      <c r="AQ82">
        <v>5808</v>
      </c>
      <c r="AR82">
        <v>769</v>
      </c>
      <c r="AS82">
        <v>2025</v>
      </c>
      <c r="AT82" s="23">
        <v>45799</v>
      </c>
      <c r="AU82" s="23" t="s">
        <v>29</v>
      </c>
      <c r="AV82">
        <v>0</v>
      </c>
      <c r="AW82">
        <v>486647.61999999901</v>
      </c>
      <c r="AX82">
        <v>4928790</v>
      </c>
      <c r="AY82">
        <v>1256.63706143591</v>
      </c>
      <c r="AZ82">
        <v>125663.706143591</v>
      </c>
      <c r="BA82">
        <v>0.20990590000000001</v>
      </c>
      <c r="BB82">
        <v>0.24474290000000001</v>
      </c>
      <c r="BC82">
        <v>0.2686153</v>
      </c>
      <c r="BD82">
        <v>5.1239199999999999E-2</v>
      </c>
      <c r="BE82">
        <v>8.6076200000000005E-2</v>
      </c>
      <c r="BF82">
        <v>0.1099487</v>
      </c>
    </row>
    <row r="85" spans="1:58">
      <c r="BB85" s="3" t="s">
        <v>20</v>
      </c>
      <c r="BC85" t="s">
        <v>194</v>
      </c>
    </row>
    <row r="86" spans="1:58">
      <c r="BA86" t="s">
        <v>12</v>
      </c>
      <c r="BB86">
        <f>COUNTIF(BD2:BD82,"&lt;0")</f>
        <v>56</v>
      </c>
    </row>
    <row r="87" spans="1:58">
      <c r="BA87" t="s">
        <v>13</v>
      </c>
      <c r="BB87">
        <f>COUNTIF(BD2:BD82,"&gt;0")</f>
        <v>25</v>
      </c>
    </row>
    <row r="88" spans="1:58">
      <c r="BA88" t="s">
        <v>23</v>
      </c>
      <c r="BB88">
        <f>COUNTA(_xlfn.UNIQUE(I2:I82))</f>
        <v>81</v>
      </c>
    </row>
    <row r="90" spans="1:58">
      <c r="BA90" t="s">
        <v>14</v>
      </c>
      <c r="BB90">
        <f>SUMIF(AV2:AV82,"&gt;0")</f>
        <v>21</v>
      </c>
    </row>
    <row r="91" spans="1:58">
      <c r="BA91" t="s">
        <v>15</v>
      </c>
      <c r="BB91">
        <f>COUNTIF(AV2:AV82,"&gt;0")</f>
        <v>14</v>
      </c>
    </row>
    <row r="92" spans="1:58" ht="29">
      <c r="BA92" s="1" t="s">
        <v>16</v>
      </c>
      <c r="BB92" s="2">
        <f>AVERAGEIF(AV2:AV82,"&gt;0",BA2:BA82)</f>
        <v>0.14040884999999997</v>
      </c>
      <c r="BC92" s="24"/>
    </row>
    <row r="93" spans="1:58">
      <c r="BA93" t="s">
        <v>17</v>
      </c>
      <c r="BB93" s="2">
        <f>MIN(BA2:BA82)</f>
        <v>0</v>
      </c>
      <c r="BC93" s="2">
        <f>_xlfn.MINIFS(BA2:BA82,AV2:AV82,"&gt;0")</f>
        <v>7.9580000000000004E-4</v>
      </c>
    </row>
    <row r="94" spans="1:58">
      <c r="BA94" t="s">
        <v>18</v>
      </c>
      <c r="BB94" s="2">
        <f>MAX(BA2:BA82)</f>
        <v>0.95278459999999998</v>
      </c>
      <c r="BC94" s="2">
        <f>_xlfn.MAXIFS(BA2:BA82,AV2:AV82,"&gt;0")</f>
        <v>0.54591500000000004</v>
      </c>
    </row>
    <row r="95" spans="1:58">
      <c r="BA95" t="s">
        <v>19</v>
      </c>
      <c r="BB95" s="2">
        <f>MEDIAN(BA2:BA82)</f>
        <v>7.9576999999999998E-3</v>
      </c>
      <c r="BC95" s="2">
        <f>MEDIAN(BA99:BA112)</f>
        <v>1.4981300000000001E-2</v>
      </c>
    </row>
    <row r="99" spans="53:53">
      <c r="BA99" s="2">
        <v>0.54591500000000004</v>
      </c>
    </row>
    <row r="100" spans="53:53">
      <c r="BA100" s="2">
        <v>0.27120719999999998</v>
      </c>
    </row>
    <row r="101" spans="53:53">
      <c r="BA101" s="2">
        <v>1.5915E-3</v>
      </c>
    </row>
    <row r="102" spans="53:53">
      <c r="BA102" s="2">
        <v>0.3038903</v>
      </c>
    </row>
    <row r="103" spans="53:53">
      <c r="BA103" s="2">
        <v>7.9580000000000004E-4</v>
      </c>
    </row>
    <row r="104" spans="53:53">
      <c r="BA104" s="2">
        <v>0.38064769999999998</v>
      </c>
    </row>
    <row r="105" spans="53:53">
      <c r="BA105" s="2">
        <v>7.9580000000000004E-4</v>
      </c>
    </row>
    <row r="106" spans="53:53">
      <c r="BA106" s="2">
        <v>2.6282400000000001E-2</v>
      </c>
    </row>
    <row r="107" spans="53:53">
      <c r="BA107" s="2">
        <v>1.4759E-3</v>
      </c>
    </row>
    <row r="108" spans="53:53">
      <c r="BA108" s="2">
        <v>3.6801999999999998E-3</v>
      </c>
    </row>
    <row r="109" spans="53:53">
      <c r="BA109" s="2">
        <v>1.5915E-3</v>
      </c>
    </row>
    <row r="110" spans="53:53">
      <c r="BA110" s="2">
        <v>0.3002687</v>
      </c>
    </row>
    <row r="111" spans="53:53">
      <c r="BA111" s="2">
        <v>1.5915E-3</v>
      </c>
    </row>
    <row r="112" spans="53:53">
      <c r="BA112" s="2">
        <v>0.1259904</v>
      </c>
    </row>
  </sheetData>
  <autoFilter ref="A1:BF82" xr:uid="{4A49C96D-2325-43F0-8971-99B6FB6C5E6D}"/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7F233-D657-4D92-84B6-40417C5098F5}">
  <dimension ref="A1:BF47"/>
  <sheetViews>
    <sheetView topLeftCell="AW1" workbookViewId="0">
      <pane ySplit="1" topLeftCell="A17" activePane="bottomLeft" state="frozen"/>
      <selection activeCell="AQ1" sqref="AQ1"/>
      <selection pane="bottomLeft" activeCell="BB38" sqref="BB38:BB47"/>
    </sheetView>
  </sheetViews>
  <sheetFormatPr defaultRowHeight="14.5"/>
  <cols>
    <col min="1" max="1" width="11" bestFit="1" customWidth="1"/>
    <col min="2" max="2" width="21" bestFit="1" customWidth="1"/>
    <col min="3" max="3" width="7.1796875" bestFit="1" customWidth="1"/>
    <col min="4" max="4" width="9" bestFit="1" customWidth="1"/>
    <col min="5" max="5" width="11.81640625" bestFit="1" customWidth="1"/>
    <col min="6" max="6" width="10.08984375" bestFit="1" customWidth="1"/>
    <col min="7" max="7" width="13.08984375" bestFit="1" customWidth="1"/>
    <col min="8" max="8" width="15.08984375" bestFit="1" customWidth="1"/>
    <col min="9" max="9" width="11.7265625" bestFit="1" customWidth="1"/>
    <col min="10" max="13" width="11.453125" bestFit="1" customWidth="1"/>
    <col min="14" max="17" width="18" bestFit="1" customWidth="1"/>
    <col min="18" max="18" width="12.453125" bestFit="1" customWidth="1"/>
    <col min="19" max="19" width="10.81640625" bestFit="1" customWidth="1"/>
    <col min="20" max="20" width="14.81640625" bestFit="1" customWidth="1"/>
    <col min="21" max="21" width="21.36328125" bestFit="1" customWidth="1"/>
    <col min="22" max="22" width="18.26953125" bestFit="1" customWidth="1"/>
    <col min="23" max="23" width="11.81640625" bestFit="1" customWidth="1"/>
    <col min="24" max="24" width="9.81640625" bestFit="1" customWidth="1"/>
    <col min="25" max="25" width="15.36328125" bestFit="1" customWidth="1"/>
    <col min="26" max="26" width="17" bestFit="1" customWidth="1"/>
    <col min="27" max="27" width="11.453125" bestFit="1" customWidth="1"/>
    <col min="28" max="28" width="18.26953125" bestFit="1" customWidth="1"/>
    <col min="29" max="29" width="18" bestFit="1" customWidth="1"/>
    <col min="30" max="30" width="13.1796875" bestFit="1" customWidth="1"/>
    <col min="31" max="31" width="11.453125" bestFit="1" customWidth="1"/>
    <col min="32" max="32" width="18.26953125" bestFit="1" customWidth="1"/>
    <col min="33" max="33" width="18" bestFit="1" customWidth="1"/>
    <col min="34" max="34" width="15.90625" bestFit="1" customWidth="1"/>
    <col min="35" max="35" width="10.81640625" bestFit="1" customWidth="1"/>
    <col min="36" max="36" width="18.26953125" bestFit="1" customWidth="1"/>
    <col min="37" max="37" width="13.1796875" bestFit="1" customWidth="1"/>
    <col min="38" max="38" width="18.26953125" bestFit="1" customWidth="1"/>
    <col min="39" max="39" width="13.1796875" bestFit="1" customWidth="1"/>
    <col min="40" max="40" width="17.81640625" bestFit="1" customWidth="1"/>
    <col min="41" max="41" width="12.90625" bestFit="1" customWidth="1"/>
    <col min="42" max="42" width="16.1796875" bestFit="1" customWidth="1"/>
    <col min="43" max="43" width="13.453125" bestFit="1" customWidth="1"/>
    <col min="44" max="44" width="16.453125" bestFit="1" customWidth="1"/>
    <col min="45" max="45" width="6.90625" bestFit="1" customWidth="1"/>
    <col min="46" max="46" width="13.1796875" bestFit="1" customWidth="1"/>
    <col min="47" max="47" width="19.7265625" bestFit="1" customWidth="1"/>
    <col min="48" max="48" width="18.26953125" bestFit="1" customWidth="1"/>
    <col min="49" max="49" width="10.6328125" bestFit="1" customWidth="1"/>
    <col min="50" max="50" width="10.453125" bestFit="1" customWidth="1"/>
    <col min="51" max="51" width="14.81640625" bestFit="1" customWidth="1"/>
    <col min="52" max="52" width="13.08984375" bestFit="1" customWidth="1"/>
    <col min="53" max="53" width="25.6328125" bestFit="1" customWidth="1"/>
    <col min="54" max="55" width="25.7265625" bestFit="1" customWidth="1"/>
    <col min="56" max="56" width="29.453125" bestFit="1" customWidth="1"/>
    <col min="57" max="58" width="29.81640625" bestFit="1" customWidth="1"/>
    <col min="66" max="66" width="21.26953125" bestFit="1" customWidth="1"/>
    <col min="67" max="67" width="21.453125" bestFit="1" customWidth="1"/>
    <col min="68" max="68" width="24" bestFit="1" customWidth="1"/>
    <col min="69" max="69" width="8.81640625" bestFit="1" customWidth="1"/>
    <col min="70" max="71" width="11.1796875" bestFit="1" customWidth="1"/>
    <col min="72" max="72" width="22.54296875" bestFit="1" customWidth="1"/>
    <col min="73" max="73" width="20.54296875" bestFit="1" customWidth="1"/>
    <col min="74" max="74" width="22.54296875" bestFit="1" customWidth="1"/>
    <col min="75" max="75" width="15.453125" bestFit="1" customWidth="1"/>
    <col min="96" max="96" width="18.26953125" bestFit="1" customWidth="1"/>
    <col min="101" max="101" width="25.6328125" bestFit="1" customWidth="1"/>
    <col min="102" max="103" width="25.7265625" bestFit="1" customWidth="1"/>
    <col min="104" max="104" width="29.453125" bestFit="1" customWidth="1"/>
    <col min="105" max="106" width="29.81640625" bestFit="1" customWidth="1"/>
  </cols>
  <sheetData>
    <row r="1" spans="1:58">
      <c r="A1" t="s">
        <v>7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0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</v>
      </c>
      <c r="X1" t="s">
        <v>6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8</v>
      </c>
      <c r="AR1" t="s">
        <v>1</v>
      </c>
      <c r="AS1" t="s">
        <v>2</v>
      </c>
      <c r="AT1" t="s">
        <v>3</v>
      </c>
      <c r="AU1" t="s">
        <v>193</v>
      </c>
      <c r="AV1" t="s">
        <v>4</v>
      </c>
      <c r="AW1" t="s">
        <v>73</v>
      </c>
      <c r="AX1" t="s">
        <v>74</v>
      </c>
      <c r="AY1" t="s">
        <v>9</v>
      </c>
      <c r="AZ1" t="s">
        <v>10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</row>
    <row r="2" spans="1:58">
      <c r="A2">
        <v>23</v>
      </c>
      <c r="B2" t="s">
        <v>135</v>
      </c>
      <c r="C2" t="s">
        <v>86</v>
      </c>
      <c r="G2" s="23">
        <v>43668</v>
      </c>
      <c r="H2">
        <v>3</v>
      </c>
      <c r="I2">
        <v>550</v>
      </c>
      <c r="J2">
        <v>5</v>
      </c>
      <c r="K2">
        <v>6</v>
      </c>
      <c r="L2">
        <v>6</v>
      </c>
      <c r="M2">
        <v>7</v>
      </c>
      <c r="N2">
        <v>0.5</v>
      </c>
      <c r="O2">
        <v>0.59799999999999998</v>
      </c>
      <c r="P2">
        <v>0.59799999999999998</v>
      </c>
      <c r="Q2">
        <v>0.69599999999999995</v>
      </c>
      <c r="R2">
        <v>-123.2113647</v>
      </c>
      <c r="S2">
        <v>44.488193500000001</v>
      </c>
      <c r="T2">
        <v>6</v>
      </c>
      <c r="U2">
        <v>0.70176470000000002</v>
      </c>
      <c r="V2">
        <v>1.25863E-2</v>
      </c>
      <c r="W2">
        <v>483193.875</v>
      </c>
      <c r="X2">
        <v>4926119.5</v>
      </c>
      <c r="Y2">
        <v>1</v>
      </c>
      <c r="Z2">
        <v>0</v>
      </c>
      <c r="AA2">
        <v>4</v>
      </c>
      <c r="AB2">
        <v>0</v>
      </c>
      <c r="AC2">
        <v>0.40200000000000002</v>
      </c>
      <c r="AD2">
        <v>0</v>
      </c>
      <c r="AE2">
        <v>5</v>
      </c>
      <c r="AF2">
        <v>1.0968E-3</v>
      </c>
      <c r="AG2">
        <v>0.5</v>
      </c>
      <c r="AH2">
        <v>0</v>
      </c>
      <c r="AI2">
        <v>31.052177400000001</v>
      </c>
      <c r="AJ2">
        <v>1E-4</v>
      </c>
      <c r="AK2">
        <v>0</v>
      </c>
      <c r="AL2">
        <v>0.2511312</v>
      </c>
      <c r="AM2">
        <v>1</v>
      </c>
      <c r="AN2">
        <v>1</v>
      </c>
      <c r="AO2">
        <v>116</v>
      </c>
      <c r="AP2">
        <v>116</v>
      </c>
      <c r="AQ2">
        <v>550</v>
      </c>
      <c r="AR2">
        <v>838</v>
      </c>
      <c r="AS2">
        <v>2025</v>
      </c>
      <c r="AT2" s="23">
        <v>45812</v>
      </c>
      <c r="AU2" s="23" t="s">
        <v>153</v>
      </c>
      <c r="AV2">
        <v>0</v>
      </c>
      <c r="AW2">
        <v>483193.86999999901</v>
      </c>
      <c r="AX2">
        <v>4926119.5</v>
      </c>
      <c r="AY2">
        <v>1256.63706143591</v>
      </c>
      <c r="AZ2">
        <v>125663.706143591</v>
      </c>
      <c r="BA2">
        <v>0.32565159999999999</v>
      </c>
      <c r="BB2">
        <v>5.5703999999999997E-3</v>
      </c>
      <c r="BC2">
        <v>7.8110000000000002E-3</v>
      </c>
      <c r="BD2">
        <v>7.4520299999999998E-2</v>
      </c>
      <c r="BE2">
        <v>-0.2455608</v>
      </c>
      <c r="BF2">
        <v>-0.24332029999999999</v>
      </c>
    </row>
    <row r="3" spans="1:58">
      <c r="A3">
        <v>688</v>
      </c>
      <c r="B3" t="s">
        <v>154</v>
      </c>
      <c r="C3" t="s">
        <v>86</v>
      </c>
      <c r="G3" s="23">
        <v>43668</v>
      </c>
      <c r="H3">
        <v>2</v>
      </c>
      <c r="I3">
        <v>1101</v>
      </c>
      <c r="J3">
        <v>7</v>
      </c>
      <c r="K3">
        <v>6</v>
      </c>
      <c r="L3">
        <v>6</v>
      </c>
      <c r="M3">
        <v>8</v>
      </c>
      <c r="N3">
        <v>0.69599999999999995</v>
      </c>
      <c r="O3">
        <v>0.59799999999999998</v>
      </c>
      <c r="P3">
        <v>0.59799999999999998</v>
      </c>
      <c r="Q3">
        <v>0.79400000000000004</v>
      </c>
      <c r="R3">
        <v>-123.1236267</v>
      </c>
      <c r="S3">
        <v>44.393642399999997</v>
      </c>
      <c r="T3">
        <v>6.75</v>
      </c>
      <c r="U3">
        <v>0.78823529999999997</v>
      </c>
      <c r="V3">
        <v>0.37527379999999999</v>
      </c>
      <c r="W3">
        <v>490153.90625</v>
      </c>
      <c r="X3">
        <v>4915603</v>
      </c>
      <c r="Y3">
        <v>1</v>
      </c>
      <c r="Z3">
        <v>0</v>
      </c>
      <c r="AA3">
        <v>4</v>
      </c>
      <c r="AB3">
        <v>0</v>
      </c>
      <c r="AC3">
        <v>0.40200000000000002</v>
      </c>
      <c r="AD3">
        <v>0</v>
      </c>
      <c r="AE3">
        <v>3</v>
      </c>
      <c r="AF3">
        <v>0</v>
      </c>
      <c r="AG3">
        <v>0.30399999999999999</v>
      </c>
      <c r="AH3">
        <v>0</v>
      </c>
      <c r="AI3">
        <v>31.052177400000001</v>
      </c>
      <c r="AJ3">
        <v>1E-4</v>
      </c>
      <c r="AK3">
        <v>0</v>
      </c>
      <c r="AL3">
        <v>0.17892</v>
      </c>
      <c r="AM3">
        <v>1</v>
      </c>
      <c r="AN3">
        <v>1</v>
      </c>
      <c r="AO3">
        <v>108</v>
      </c>
      <c r="AP3">
        <v>108</v>
      </c>
      <c r="AQ3">
        <v>1101</v>
      </c>
      <c r="AR3">
        <v>830</v>
      </c>
      <c r="AS3">
        <v>2025</v>
      </c>
      <c r="AT3" s="23">
        <v>45812</v>
      </c>
      <c r="AU3" s="23" t="s">
        <v>153</v>
      </c>
      <c r="AV3">
        <v>0</v>
      </c>
      <c r="AW3">
        <v>490153.9</v>
      </c>
      <c r="AX3">
        <v>4915603</v>
      </c>
      <c r="AY3">
        <v>1256.63706143591</v>
      </c>
      <c r="AZ3">
        <v>125663.706143591</v>
      </c>
      <c r="BA3">
        <v>0.1556304</v>
      </c>
      <c r="BB3">
        <v>0.16517970000000001</v>
      </c>
      <c r="BC3">
        <v>0.22406680000000001</v>
      </c>
      <c r="BD3">
        <v>-2.3289600000000001E-2</v>
      </c>
      <c r="BE3">
        <v>-1.37403E-2</v>
      </c>
      <c r="BF3">
        <v>4.5146800000000001E-2</v>
      </c>
    </row>
    <row r="4" spans="1:58">
      <c r="A4">
        <v>689</v>
      </c>
      <c r="B4" t="s">
        <v>154</v>
      </c>
      <c r="C4" t="s">
        <v>86</v>
      </c>
      <c r="G4" s="23">
        <v>43668</v>
      </c>
      <c r="H4">
        <v>2</v>
      </c>
      <c r="I4">
        <v>1102</v>
      </c>
      <c r="J4">
        <v>7</v>
      </c>
      <c r="K4">
        <v>6</v>
      </c>
      <c r="L4">
        <v>6</v>
      </c>
      <c r="M4">
        <v>7</v>
      </c>
      <c r="N4">
        <v>0.69599999999999995</v>
      </c>
      <c r="O4">
        <v>0.59799999999999998</v>
      </c>
      <c r="P4">
        <v>0.59799999999999998</v>
      </c>
      <c r="Q4">
        <v>0.69599999999999995</v>
      </c>
      <c r="R4">
        <v>-123.12118529999999</v>
      </c>
      <c r="S4">
        <v>44.399227099999997</v>
      </c>
      <c r="T4">
        <v>6.5</v>
      </c>
      <c r="U4">
        <v>0.75941179999999997</v>
      </c>
      <c r="V4">
        <v>3.3278000000000001E-3</v>
      </c>
      <c r="W4">
        <v>490349.40625</v>
      </c>
      <c r="X4">
        <v>4916223</v>
      </c>
      <c r="Y4">
        <v>0</v>
      </c>
      <c r="AA4">
        <v>4</v>
      </c>
      <c r="AB4">
        <v>0</v>
      </c>
      <c r="AC4">
        <v>0.40200000000000002</v>
      </c>
      <c r="AD4">
        <v>0</v>
      </c>
      <c r="AE4">
        <v>8</v>
      </c>
      <c r="AF4">
        <v>0.1928224</v>
      </c>
      <c r="AG4">
        <v>0.79400000000000004</v>
      </c>
      <c r="AH4">
        <v>1</v>
      </c>
      <c r="AI4">
        <v>31.052177400000001</v>
      </c>
      <c r="AJ4">
        <v>1E-4</v>
      </c>
      <c r="AK4">
        <v>0</v>
      </c>
      <c r="AL4">
        <v>0.33264830000000001</v>
      </c>
      <c r="AM4">
        <v>1</v>
      </c>
      <c r="AN4">
        <v>1</v>
      </c>
      <c r="AO4">
        <v>109</v>
      </c>
      <c r="AP4">
        <v>109</v>
      </c>
      <c r="AQ4">
        <v>1102</v>
      </c>
      <c r="AR4">
        <v>831</v>
      </c>
      <c r="AS4">
        <v>2025</v>
      </c>
      <c r="AT4" s="23">
        <v>45812</v>
      </c>
      <c r="AU4" s="23" t="s">
        <v>153</v>
      </c>
      <c r="AV4">
        <v>2</v>
      </c>
      <c r="AW4">
        <v>490349.4</v>
      </c>
      <c r="AX4">
        <v>4916223</v>
      </c>
      <c r="AY4">
        <v>1256.63706143591</v>
      </c>
      <c r="AZ4">
        <v>125663.706143591</v>
      </c>
      <c r="BA4">
        <v>0.30408160000000001</v>
      </c>
      <c r="BB4">
        <v>0.3182236</v>
      </c>
      <c r="BC4">
        <v>1.4763000000000001E-3</v>
      </c>
      <c r="BD4">
        <v>-2.85667E-2</v>
      </c>
      <c r="BE4">
        <v>-1.44247E-2</v>
      </c>
      <c r="BF4">
        <v>-0.33117200000000002</v>
      </c>
    </row>
    <row r="5" spans="1:58">
      <c r="A5">
        <v>826</v>
      </c>
      <c r="B5" t="s">
        <v>155</v>
      </c>
      <c r="C5" t="s">
        <v>88</v>
      </c>
      <c r="G5" s="23">
        <v>43668</v>
      </c>
      <c r="H5">
        <v>2</v>
      </c>
      <c r="I5">
        <v>1213</v>
      </c>
      <c r="J5">
        <v>7</v>
      </c>
      <c r="K5">
        <v>8</v>
      </c>
      <c r="L5">
        <v>8</v>
      </c>
      <c r="M5">
        <v>8</v>
      </c>
      <c r="N5">
        <v>0.69599999999999995</v>
      </c>
      <c r="O5">
        <v>0.79400000000000004</v>
      </c>
      <c r="P5">
        <v>0.79400000000000004</v>
      </c>
      <c r="Q5">
        <v>0.79400000000000004</v>
      </c>
      <c r="R5">
        <v>-123.21542359999999</v>
      </c>
      <c r="S5">
        <v>44.403419499999998</v>
      </c>
      <c r="T5">
        <v>7.75</v>
      </c>
      <c r="U5">
        <v>0.90352940000000004</v>
      </c>
      <c r="V5">
        <v>0.67413809999999996</v>
      </c>
      <c r="W5">
        <v>482845.9375</v>
      </c>
      <c r="X5">
        <v>4916704</v>
      </c>
      <c r="Y5">
        <v>0</v>
      </c>
      <c r="AA5">
        <v>6</v>
      </c>
      <c r="AB5">
        <v>1.1038000000000001E-3</v>
      </c>
      <c r="AC5">
        <v>0.59799999999999998</v>
      </c>
      <c r="AD5">
        <v>1</v>
      </c>
      <c r="AE5">
        <v>5</v>
      </c>
      <c r="AF5">
        <v>5.5190000000000003E-4</v>
      </c>
      <c r="AG5">
        <v>0.5</v>
      </c>
      <c r="AH5">
        <v>1</v>
      </c>
      <c r="AI5">
        <v>31.052177400000001</v>
      </c>
      <c r="AJ5">
        <v>0.12367640000000001</v>
      </c>
      <c r="AK5">
        <v>1</v>
      </c>
      <c r="AL5">
        <v>0.14235919999999999</v>
      </c>
      <c r="AM5">
        <v>1</v>
      </c>
      <c r="AN5">
        <v>1</v>
      </c>
      <c r="AO5">
        <v>111</v>
      </c>
      <c r="AP5">
        <v>111</v>
      </c>
      <c r="AQ5">
        <v>1213</v>
      </c>
      <c r="AR5">
        <v>833</v>
      </c>
      <c r="AS5">
        <v>2025</v>
      </c>
      <c r="AT5" s="23">
        <v>45812</v>
      </c>
      <c r="AU5" s="23" t="s">
        <v>153</v>
      </c>
      <c r="AV5">
        <v>0</v>
      </c>
      <c r="AW5">
        <v>482845.929999999</v>
      </c>
      <c r="AX5">
        <v>4916704</v>
      </c>
      <c r="AY5">
        <v>1256.63706143591</v>
      </c>
      <c r="AZ5">
        <v>125663.706143591</v>
      </c>
      <c r="BA5">
        <v>7.9580000000000004E-4</v>
      </c>
      <c r="BB5">
        <v>5.5703999999999997E-3</v>
      </c>
      <c r="BC5">
        <v>0.73553570000000001</v>
      </c>
      <c r="BD5">
        <v>-0.14156340000000001</v>
      </c>
      <c r="BE5">
        <v>-0.13678879999999999</v>
      </c>
      <c r="BF5">
        <v>0.5931765</v>
      </c>
    </row>
    <row r="6" spans="1:58">
      <c r="A6">
        <v>961</v>
      </c>
      <c r="B6" t="s">
        <v>154</v>
      </c>
      <c r="C6" t="s">
        <v>86</v>
      </c>
      <c r="G6" s="23">
        <v>43668</v>
      </c>
      <c r="H6">
        <v>2</v>
      </c>
      <c r="I6">
        <v>1325</v>
      </c>
      <c r="J6">
        <v>7</v>
      </c>
      <c r="K6">
        <v>8</v>
      </c>
      <c r="L6">
        <v>8</v>
      </c>
      <c r="M6">
        <v>8</v>
      </c>
      <c r="N6">
        <v>0.69599999999999995</v>
      </c>
      <c r="O6">
        <v>0.79400000000000004</v>
      </c>
      <c r="P6">
        <v>0.79400000000000004</v>
      </c>
      <c r="Q6">
        <v>0.79400000000000004</v>
      </c>
      <c r="R6">
        <v>-123.12864690000001</v>
      </c>
      <c r="S6">
        <v>44.3424683</v>
      </c>
      <c r="T6">
        <v>7.75</v>
      </c>
      <c r="U6">
        <v>0.90352940000000004</v>
      </c>
      <c r="V6">
        <v>8.3230000000000005E-3</v>
      </c>
      <c r="W6">
        <v>489745.28125</v>
      </c>
      <c r="X6">
        <v>4909919.5</v>
      </c>
      <c r="Y6">
        <v>0</v>
      </c>
      <c r="AA6">
        <v>4</v>
      </c>
      <c r="AB6">
        <v>0</v>
      </c>
      <c r="AC6">
        <v>0.40200000000000002</v>
      </c>
      <c r="AD6">
        <v>0</v>
      </c>
      <c r="AE6">
        <v>8</v>
      </c>
      <c r="AF6">
        <v>0.1181546</v>
      </c>
      <c r="AG6">
        <v>0.79400000000000004</v>
      </c>
      <c r="AH6">
        <v>1</v>
      </c>
      <c r="AI6">
        <v>31.052177400000001</v>
      </c>
      <c r="AJ6">
        <v>1E-4</v>
      </c>
      <c r="AK6">
        <v>0</v>
      </c>
      <c r="AL6">
        <v>0.1718982</v>
      </c>
      <c r="AM6">
        <v>1</v>
      </c>
      <c r="AN6">
        <v>1</v>
      </c>
      <c r="AO6">
        <v>106</v>
      </c>
      <c r="AP6">
        <v>106</v>
      </c>
      <c r="AQ6">
        <v>1325</v>
      </c>
      <c r="AR6">
        <v>828</v>
      </c>
      <c r="AS6">
        <v>2025</v>
      </c>
      <c r="AT6" s="23">
        <v>45812</v>
      </c>
      <c r="AU6" s="23" t="s">
        <v>153</v>
      </c>
      <c r="AV6">
        <v>0</v>
      </c>
      <c r="AW6">
        <v>489745.28</v>
      </c>
      <c r="AX6">
        <v>4909919.5</v>
      </c>
      <c r="AY6">
        <v>1256.63706143591</v>
      </c>
      <c r="AZ6">
        <v>125663.706143591</v>
      </c>
      <c r="BA6">
        <v>0.182978</v>
      </c>
      <c r="BB6">
        <v>0.21722540000000001</v>
      </c>
      <c r="BC6">
        <v>0.29071239999999998</v>
      </c>
      <c r="BD6">
        <v>1.1079800000000001E-2</v>
      </c>
      <c r="BE6">
        <v>4.5327199999999998E-2</v>
      </c>
      <c r="BF6">
        <v>0.11881419999999999</v>
      </c>
    </row>
    <row r="7" spans="1:58">
      <c r="A7">
        <v>1085</v>
      </c>
      <c r="B7" t="s">
        <v>156</v>
      </c>
      <c r="C7" t="s">
        <v>86</v>
      </c>
      <c r="G7" s="23">
        <v>43668</v>
      </c>
      <c r="H7">
        <v>2</v>
      </c>
      <c r="I7">
        <v>1428</v>
      </c>
      <c r="J7">
        <v>6</v>
      </c>
      <c r="K7">
        <v>8</v>
      </c>
      <c r="L7">
        <v>5</v>
      </c>
      <c r="M7">
        <v>6</v>
      </c>
      <c r="N7">
        <v>0.59799999999999998</v>
      </c>
      <c r="O7">
        <v>0.79400000000000004</v>
      </c>
      <c r="P7">
        <v>0.5</v>
      </c>
      <c r="Q7">
        <v>0.59799999999999998</v>
      </c>
      <c r="R7">
        <v>-123.16372680000001</v>
      </c>
      <c r="S7">
        <v>44.430221600000003</v>
      </c>
      <c r="T7">
        <v>6.25</v>
      </c>
      <c r="U7">
        <v>0.73058829999999997</v>
      </c>
      <c r="V7">
        <v>0</v>
      </c>
      <c r="W7">
        <v>486968.625</v>
      </c>
      <c r="X7">
        <v>4919671.5</v>
      </c>
      <c r="Y7">
        <v>0</v>
      </c>
      <c r="AA7">
        <v>4</v>
      </c>
      <c r="AB7">
        <v>0</v>
      </c>
      <c r="AC7">
        <v>0.40200000000000002</v>
      </c>
      <c r="AD7">
        <v>0</v>
      </c>
      <c r="AE7">
        <v>8</v>
      </c>
      <c r="AF7">
        <v>0.2518532</v>
      </c>
      <c r="AG7">
        <v>0.79400000000000004</v>
      </c>
      <c r="AH7">
        <v>0</v>
      </c>
      <c r="AI7">
        <v>31.052177400000001</v>
      </c>
      <c r="AJ7">
        <v>1E-4</v>
      </c>
      <c r="AK7">
        <v>0</v>
      </c>
      <c r="AL7">
        <v>0.16381670000000001</v>
      </c>
      <c r="AM7">
        <v>1</v>
      </c>
      <c r="AN7">
        <v>1</v>
      </c>
      <c r="AO7">
        <v>114</v>
      </c>
      <c r="AP7">
        <v>114</v>
      </c>
      <c r="AQ7">
        <v>1428</v>
      </c>
      <c r="AR7">
        <v>836</v>
      </c>
      <c r="AS7">
        <v>2025</v>
      </c>
      <c r="AT7" s="23">
        <v>45812</v>
      </c>
      <c r="AU7" s="23" t="s">
        <v>153</v>
      </c>
      <c r="AV7">
        <v>0</v>
      </c>
      <c r="AW7">
        <v>486968.61999999901</v>
      </c>
      <c r="AX7">
        <v>4919671.5</v>
      </c>
      <c r="AY7">
        <v>1256.63706143591</v>
      </c>
      <c r="AZ7">
        <v>125663.706143591</v>
      </c>
      <c r="BA7">
        <v>3.1830999999999999E-3</v>
      </c>
      <c r="BB7">
        <v>7.2320000000000001E-4</v>
      </c>
      <c r="BC7">
        <v>5.7552999999999997E-3</v>
      </c>
      <c r="BD7">
        <v>-0.16063359999999999</v>
      </c>
      <c r="BE7">
        <v>-0.1630935</v>
      </c>
      <c r="BF7">
        <v>-0.15806139999999999</v>
      </c>
    </row>
    <row r="8" spans="1:58">
      <c r="A8">
        <v>1371</v>
      </c>
      <c r="B8" t="s">
        <v>157</v>
      </c>
      <c r="C8" t="s">
        <v>86</v>
      </c>
      <c r="G8" s="23">
        <v>43668</v>
      </c>
      <c r="H8">
        <v>2</v>
      </c>
      <c r="I8">
        <v>1673</v>
      </c>
      <c r="J8">
        <v>7</v>
      </c>
      <c r="K8">
        <v>5</v>
      </c>
      <c r="L8">
        <v>6</v>
      </c>
      <c r="M8">
        <v>8</v>
      </c>
      <c r="N8">
        <v>0.69599999999999995</v>
      </c>
      <c r="O8">
        <v>0.5</v>
      </c>
      <c r="P8">
        <v>0.59799999999999998</v>
      </c>
      <c r="Q8">
        <v>0.79400000000000004</v>
      </c>
      <c r="R8">
        <v>-123.1282501</v>
      </c>
      <c r="S8">
        <v>44.401741000000001</v>
      </c>
      <c r="T8">
        <v>6.5</v>
      </c>
      <c r="U8">
        <v>0.75941179999999997</v>
      </c>
      <c r="V8">
        <v>0.39543800000000001</v>
      </c>
      <c r="W8">
        <v>489787.21875</v>
      </c>
      <c r="X8">
        <v>4916503</v>
      </c>
      <c r="Y8">
        <v>0</v>
      </c>
      <c r="AA8">
        <v>3</v>
      </c>
      <c r="AB8">
        <v>0</v>
      </c>
      <c r="AC8">
        <v>0.30399999999999999</v>
      </c>
      <c r="AD8">
        <v>0</v>
      </c>
      <c r="AE8">
        <v>8</v>
      </c>
      <c r="AF8">
        <v>0.2349087</v>
      </c>
      <c r="AG8">
        <v>0.79400000000000004</v>
      </c>
      <c r="AH8">
        <v>0</v>
      </c>
      <c r="AI8">
        <v>31.052177400000001</v>
      </c>
      <c r="AJ8">
        <v>1E-4</v>
      </c>
      <c r="AK8">
        <v>0</v>
      </c>
      <c r="AL8">
        <v>0.26729320000000001</v>
      </c>
      <c r="AM8">
        <v>1</v>
      </c>
      <c r="AN8">
        <v>1</v>
      </c>
      <c r="AO8">
        <v>110</v>
      </c>
      <c r="AP8">
        <v>110</v>
      </c>
      <c r="AQ8">
        <v>1673</v>
      </c>
      <c r="AR8">
        <v>832</v>
      </c>
      <c r="AS8">
        <v>2025</v>
      </c>
      <c r="AT8" s="23">
        <v>45812</v>
      </c>
      <c r="AU8" s="23" t="s">
        <v>153</v>
      </c>
      <c r="AV8">
        <v>2</v>
      </c>
      <c r="AW8">
        <v>489787.21</v>
      </c>
      <c r="AX8">
        <v>4916503</v>
      </c>
      <c r="AY8">
        <v>1256.63706143591</v>
      </c>
      <c r="AZ8">
        <v>125663.706143591</v>
      </c>
      <c r="BA8">
        <v>0.29294609999999999</v>
      </c>
      <c r="BB8">
        <v>0.31346570000000001</v>
      </c>
      <c r="BC8">
        <v>0.32398919999999998</v>
      </c>
      <c r="BD8">
        <v>2.5652999999999999E-2</v>
      </c>
      <c r="BE8">
        <v>4.6172499999999998E-2</v>
      </c>
      <c r="BF8">
        <v>5.6696099999999999E-2</v>
      </c>
    </row>
    <row r="9" spans="1:58">
      <c r="A9">
        <v>1433</v>
      </c>
      <c r="B9" t="s">
        <v>158</v>
      </c>
      <c r="C9" t="s">
        <v>86</v>
      </c>
      <c r="G9" s="23">
        <v>43668</v>
      </c>
      <c r="H9">
        <v>2</v>
      </c>
      <c r="I9">
        <v>1725</v>
      </c>
      <c r="J9">
        <v>6</v>
      </c>
      <c r="K9">
        <v>6</v>
      </c>
      <c r="L9">
        <v>6</v>
      </c>
      <c r="M9">
        <v>8</v>
      </c>
      <c r="N9">
        <v>0.59799999999999998</v>
      </c>
      <c r="O9">
        <v>0.59799999999999998</v>
      </c>
      <c r="P9">
        <v>0.59799999999999998</v>
      </c>
      <c r="Q9">
        <v>0.79400000000000004</v>
      </c>
      <c r="R9">
        <v>-123.17779539999999</v>
      </c>
      <c r="S9">
        <v>44.450855300000001</v>
      </c>
      <c r="T9">
        <v>6.5</v>
      </c>
      <c r="U9">
        <v>0.75941179999999997</v>
      </c>
      <c r="V9">
        <v>0.42395369999999999</v>
      </c>
      <c r="W9">
        <v>485853.875</v>
      </c>
      <c r="X9">
        <v>4921965.5</v>
      </c>
      <c r="Y9">
        <v>0</v>
      </c>
      <c r="AA9">
        <v>8</v>
      </c>
      <c r="AB9">
        <v>0.33284059999999999</v>
      </c>
      <c r="AC9">
        <v>0.79400000000000004</v>
      </c>
      <c r="AD9">
        <v>0</v>
      </c>
      <c r="AE9">
        <v>5</v>
      </c>
      <c r="AF9">
        <v>0</v>
      </c>
      <c r="AG9">
        <v>0.5</v>
      </c>
      <c r="AH9">
        <v>0</v>
      </c>
      <c r="AI9">
        <v>31.052177400000001</v>
      </c>
      <c r="AJ9">
        <v>9.6422999999999995E-2</v>
      </c>
      <c r="AK9">
        <v>1</v>
      </c>
      <c r="AL9">
        <v>0.54824360000000005</v>
      </c>
      <c r="AM9">
        <v>1</v>
      </c>
      <c r="AN9">
        <v>1</v>
      </c>
      <c r="AO9">
        <v>115</v>
      </c>
      <c r="AP9">
        <v>115</v>
      </c>
      <c r="AQ9">
        <v>1725</v>
      </c>
      <c r="AR9">
        <v>837</v>
      </c>
      <c r="AS9">
        <v>2025</v>
      </c>
      <c r="AT9" s="23">
        <v>45812</v>
      </c>
      <c r="AU9" s="23" t="s">
        <v>153</v>
      </c>
      <c r="AV9">
        <v>1</v>
      </c>
      <c r="AW9">
        <v>485853.86999999901</v>
      </c>
      <c r="AX9">
        <v>4921965.5</v>
      </c>
      <c r="AY9">
        <v>1256.63706143591</v>
      </c>
      <c r="AZ9">
        <v>125663.706143591</v>
      </c>
      <c r="BA9">
        <v>7.9580000000000004E-4</v>
      </c>
      <c r="BB9">
        <v>7.9580000000000004E-4</v>
      </c>
      <c r="BC9">
        <v>4.3179999999999998E-4</v>
      </c>
      <c r="BD9">
        <v>-0.54744780000000004</v>
      </c>
      <c r="BE9">
        <v>-0.54744780000000004</v>
      </c>
      <c r="BF9">
        <v>-0.54781170000000001</v>
      </c>
    </row>
    <row r="10" spans="1:58">
      <c r="A10">
        <v>1488</v>
      </c>
      <c r="B10" t="s">
        <v>156</v>
      </c>
      <c r="C10" t="s">
        <v>86</v>
      </c>
      <c r="G10" s="23">
        <v>43668</v>
      </c>
      <c r="H10">
        <v>2</v>
      </c>
      <c r="I10">
        <v>1769</v>
      </c>
      <c r="J10">
        <v>6</v>
      </c>
      <c r="K10">
        <v>8</v>
      </c>
      <c r="L10">
        <v>7</v>
      </c>
      <c r="M10">
        <v>8</v>
      </c>
      <c r="N10">
        <v>0.59799999999999998</v>
      </c>
      <c r="O10">
        <v>0.79400000000000004</v>
      </c>
      <c r="P10">
        <v>0.69599999999999995</v>
      </c>
      <c r="Q10">
        <v>0.79400000000000004</v>
      </c>
      <c r="R10">
        <v>-123.17141719999999</v>
      </c>
      <c r="S10">
        <v>44.442829099999997</v>
      </c>
      <c r="T10">
        <v>7.25</v>
      </c>
      <c r="U10">
        <v>0.84588240000000003</v>
      </c>
      <c r="V10">
        <v>0.1087626</v>
      </c>
      <c r="W10">
        <v>486359.15625</v>
      </c>
      <c r="X10">
        <v>4921073</v>
      </c>
      <c r="Y10">
        <v>0</v>
      </c>
      <c r="AA10">
        <v>4</v>
      </c>
      <c r="AB10">
        <v>0</v>
      </c>
      <c r="AC10">
        <v>0.40200000000000002</v>
      </c>
      <c r="AD10">
        <v>0</v>
      </c>
      <c r="AE10">
        <v>5</v>
      </c>
      <c r="AF10">
        <v>0</v>
      </c>
      <c r="AG10">
        <v>0.5</v>
      </c>
      <c r="AH10">
        <v>0</v>
      </c>
      <c r="AI10">
        <v>31.052177400000001</v>
      </c>
      <c r="AJ10">
        <v>1E-4</v>
      </c>
      <c r="AK10">
        <v>0</v>
      </c>
      <c r="AL10">
        <v>0.27334540000000002</v>
      </c>
      <c r="AM10">
        <v>1</v>
      </c>
      <c r="AN10">
        <v>1</v>
      </c>
      <c r="AO10">
        <v>113</v>
      </c>
      <c r="AP10">
        <v>113</v>
      </c>
      <c r="AQ10">
        <v>1769</v>
      </c>
      <c r="AR10">
        <v>835</v>
      </c>
      <c r="AS10">
        <v>2025</v>
      </c>
      <c r="AT10" s="23">
        <v>45812</v>
      </c>
      <c r="AU10" s="23" t="s">
        <v>153</v>
      </c>
      <c r="AV10">
        <v>0</v>
      </c>
      <c r="AW10">
        <v>486359.15</v>
      </c>
      <c r="AX10">
        <v>4921073</v>
      </c>
      <c r="AY10">
        <v>1256.63706143591</v>
      </c>
      <c r="AZ10">
        <v>125663.706143591</v>
      </c>
      <c r="BA10">
        <v>0.31854700000000002</v>
      </c>
      <c r="BB10">
        <v>1.5915E-3</v>
      </c>
      <c r="BC10">
        <v>2.3873000000000002E-3</v>
      </c>
      <c r="BD10">
        <v>4.5201499999999999E-2</v>
      </c>
      <c r="BE10">
        <v>-0.27175379999999999</v>
      </c>
      <c r="BF10">
        <v>-0.27095809999999998</v>
      </c>
    </row>
    <row r="11" spans="1:58">
      <c r="A11">
        <v>1601</v>
      </c>
      <c r="B11" t="s">
        <v>159</v>
      </c>
      <c r="C11" t="s">
        <v>86</v>
      </c>
      <c r="G11" s="23">
        <v>43668</v>
      </c>
      <c r="H11">
        <v>3</v>
      </c>
      <c r="I11">
        <v>1861</v>
      </c>
      <c r="J11">
        <v>0</v>
      </c>
      <c r="K11">
        <v>0</v>
      </c>
      <c r="L11">
        <v>0</v>
      </c>
      <c r="M11">
        <v>0</v>
      </c>
      <c r="N11">
        <v>0.01</v>
      </c>
      <c r="O11">
        <v>0.01</v>
      </c>
      <c r="P11">
        <v>0.01</v>
      </c>
      <c r="Q11">
        <v>0.01</v>
      </c>
      <c r="R11">
        <v>-122.96379090000001</v>
      </c>
      <c r="S11">
        <v>43.957645399999997</v>
      </c>
      <c r="T11">
        <v>0</v>
      </c>
      <c r="U11">
        <v>0.01</v>
      </c>
      <c r="V11">
        <v>0</v>
      </c>
      <c r="W11">
        <v>502904.90625</v>
      </c>
      <c r="X11">
        <v>4867169.5</v>
      </c>
      <c r="Y11">
        <v>0</v>
      </c>
      <c r="AA11">
        <v>5</v>
      </c>
      <c r="AB11">
        <v>0</v>
      </c>
      <c r="AC11">
        <v>0.5</v>
      </c>
      <c r="AD11">
        <v>0</v>
      </c>
      <c r="AE11">
        <v>5</v>
      </c>
      <c r="AF11">
        <v>2.6443E-3</v>
      </c>
      <c r="AG11">
        <v>0.5</v>
      </c>
      <c r="AH11">
        <v>0</v>
      </c>
      <c r="AI11">
        <v>31.052177400000001</v>
      </c>
      <c r="AJ11">
        <v>0.2488389</v>
      </c>
      <c r="AK11">
        <v>1</v>
      </c>
      <c r="AL11">
        <v>0.2534962</v>
      </c>
      <c r="AM11">
        <v>1</v>
      </c>
      <c r="AN11">
        <v>1</v>
      </c>
      <c r="AO11">
        <v>105</v>
      </c>
      <c r="AP11">
        <v>105</v>
      </c>
      <c r="AQ11">
        <v>1861</v>
      </c>
      <c r="AR11">
        <v>827</v>
      </c>
      <c r="AS11">
        <v>2025</v>
      </c>
      <c r="AT11" s="23">
        <v>45812</v>
      </c>
      <c r="AU11" s="23" t="s">
        <v>153</v>
      </c>
      <c r="AV11">
        <v>0</v>
      </c>
      <c r="AW11">
        <v>502904.9</v>
      </c>
      <c r="AX11">
        <v>4867169.5</v>
      </c>
      <c r="AY11">
        <v>1256.63706143591</v>
      </c>
      <c r="AZ11">
        <v>125663.706143591</v>
      </c>
      <c r="BA11">
        <v>1.5915E-3</v>
      </c>
      <c r="BB11">
        <v>0.49061379999999999</v>
      </c>
      <c r="BC11">
        <v>7.9580000000000004E-4</v>
      </c>
      <c r="BD11">
        <v>-0.25190469999999998</v>
      </c>
      <c r="BE11">
        <v>0.23711760000000001</v>
      </c>
      <c r="BF11">
        <v>-0.25270039999999999</v>
      </c>
    </row>
    <row r="12" spans="1:58">
      <c r="A12">
        <v>2571</v>
      </c>
      <c r="B12" t="s">
        <v>160</v>
      </c>
      <c r="C12" t="s">
        <v>86</v>
      </c>
      <c r="G12" s="23">
        <v>43668</v>
      </c>
      <c r="H12">
        <v>2</v>
      </c>
      <c r="I12">
        <v>2669</v>
      </c>
      <c r="J12">
        <v>6</v>
      </c>
      <c r="K12">
        <v>8</v>
      </c>
      <c r="L12">
        <v>6</v>
      </c>
      <c r="M12">
        <v>8</v>
      </c>
      <c r="N12">
        <v>0.59799999999999998</v>
      </c>
      <c r="O12">
        <v>0.79400000000000004</v>
      </c>
      <c r="P12">
        <v>0.59799999999999998</v>
      </c>
      <c r="Q12">
        <v>0.79400000000000004</v>
      </c>
      <c r="R12">
        <v>-123.1856995</v>
      </c>
      <c r="S12">
        <v>44.428035700000002</v>
      </c>
      <c r="T12">
        <v>7</v>
      </c>
      <c r="U12">
        <v>0.81705879999999997</v>
      </c>
      <c r="V12">
        <v>0.41760550000000002</v>
      </c>
      <c r="W12">
        <v>485219.375</v>
      </c>
      <c r="X12">
        <v>4919432.5</v>
      </c>
      <c r="Y12">
        <v>0</v>
      </c>
      <c r="AA12">
        <v>3</v>
      </c>
      <c r="AB12">
        <v>0</v>
      </c>
      <c r="AC12">
        <v>0.30399999999999999</v>
      </c>
      <c r="AD12">
        <v>0</v>
      </c>
      <c r="AE12">
        <v>8</v>
      </c>
      <c r="AF12">
        <v>0.18447669999999999</v>
      </c>
      <c r="AG12">
        <v>0.79400000000000004</v>
      </c>
      <c r="AH12">
        <v>0</v>
      </c>
      <c r="AI12">
        <v>31.052177400000001</v>
      </c>
      <c r="AJ12">
        <v>0.12830169999999999</v>
      </c>
      <c r="AK12">
        <v>1</v>
      </c>
      <c r="AL12">
        <v>0.1755476</v>
      </c>
      <c r="AM12">
        <v>1</v>
      </c>
      <c r="AN12">
        <v>1</v>
      </c>
      <c r="AO12">
        <v>112</v>
      </c>
      <c r="AP12">
        <v>112</v>
      </c>
      <c r="AQ12">
        <v>2669</v>
      </c>
      <c r="AR12">
        <v>834</v>
      </c>
      <c r="AS12">
        <v>2025</v>
      </c>
      <c r="AT12" s="23">
        <v>45812</v>
      </c>
      <c r="AU12" s="23" t="s">
        <v>153</v>
      </c>
      <c r="AV12">
        <v>0</v>
      </c>
      <c r="AW12">
        <v>485219.36999999901</v>
      </c>
      <c r="AX12">
        <v>4919432.5</v>
      </c>
      <c r="AY12">
        <v>1256.63706143591</v>
      </c>
      <c r="AZ12">
        <v>125663.706143591</v>
      </c>
      <c r="BA12">
        <v>0.22006519999999999</v>
      </c>
      <c r="BB12">
        <v>0.26212760000000002</v>
      </c>
      <c r="BC12">
        <v>1.5915E-3</v>
      </c>
      <c r="BD12">
        <v>4.4517599999999997E-2</v>
      </c>
      <c r="BE12">
        <v>8.6580000000000004E-2</v>
      </c>
      <c r="BF12">
        <v>-0.173956</v>
      </c>
    </row>
    <row r="13" spans="1:58">
      <c r="A13">
        <v>6347</v>
      </c>
      <c r="B13" t="s">
        <v>154</v>
      </c>
      <c r="C13" t="s">
        <v>86</v>
      </c>
      <c r="G13" s="23">
        <v>43668</v>
      </c>
      <c r="H13">
        <v>2</v>
      </c>
      <c r="I13">
        <v>5464</v>
      </c>
      <c r="J13">
        <v>7</v>
      </c>
      <c r="K13">
        <v>8</v>
      </c>
      <c r="L13">
        <v>7</v>
      </c>
      <c r="M13">
        <v>8</v>
      </c>
      <c r="N13">
        <v>0.69599999999999995</v>
      </c>
      <c r="O13">
        <v>0.79400000000000004</v>
      </c>
      <c r="P13">
        <v>0.69599999999999995</v>
      </c>
      <c r="Q13">
        <v>0.79400000000000004</v>
      </c>
      <c r="R13">
        <v>-123.128685</v>
      </c>
      <c r="S13">
        <v>44.365688300000002</v>
      </c>
      <c r="T13">
        <v>7.5</v>
      </c>
      <c r="U13">
        <v>0.87470590000000004</v>
      </c>
      <c r="V13">
        <v>0.1759056</v>
      </c>
      <c r="W13">
        <v>489746.15625</v>
      </c>
      <c r="X13">
        <v>4912498.5</v>
      </c>
      <c r="Y13">
        <v>0</v>
      </c>
      <c r="AA13">
        <v>4</v>
      </c>
      <c r="AB13">
        <v>0</v>
      </c>
      <c r="AC13">
        <v>0.40200000000000002</v>
      </c>
      <c r="AD13">
        <v>0</v>
      </c>
      <c r="AE13">
        <v>3</v>
      </c>
      <c r="AF13">
        <v>0</v>
      </c>
      <c r="AG13">
        <v>0.30399999999999999</v>
      </c>
      <c r="AH13">
        <v>1</v>
      </c>
      <c r="AI13">
        <v>31.052177400000001</v>
      </c>
      <c r="AJ13">
        <v>0.12588089999999999</v>
      </c>
      <c r="AK13">
        <v>1</v>
      </c>
      <c r="AL13">
        <v>0.19298709999999999</v>
      </c>
      <c r="AM13">
        <v>1</v>
      </c>
      <c r="AN13">
        <v>1</v>
      </c>
      <c r="AO13">
        <v>107</v>
      </c>
      <c r="AP13">
        <v>107</v>
      </c>
      <c r="AQ13">
        <v>5464</v>
      </c>
      <c r="AR13">
        <v>829</v>
      </c>
      <c r="AS13">
        <v>2025</v>
      </c>
      <c r="AT13" s="23">
        <v>45812</v>
      </c>
      <c r="AU13" s="23" t="s">
        <v>153</v>
      </c>
      <c r="AV13">
        <v>0</v>
      </c>
      <c r="AW13">
        <v>489746.15</v>
      </c>
      <c r="AX13">
        <v>4912498.5</v>
      </c>
      <c r="AY13">
        <v>1256.63706143591</v>
      </c>
      <c r="AZ13">
        <v>125663.706143591</v>
      </c>
      <c r="BA13">
        <v>0.1163365</v>
      </c>
      <c r="BB13">
        <v>4.1868700000000002E-2</v>
      </c>
      <c r="BC13">
        <v>7.9580000000000004E-4</v>
      </c>
      <c r="BD13">
        <v>-7.6650599999999999E-2</v>
      </c>
      <c r="BE13">
        <v>-0.15111840000000001</v>
      </c>
      <c r="BF13">
        <v>-0.19219130000000001</v>
      </c>
    </row>
    <row r="14" spans="1:58">
      <c r="A14">
        <v>481</v>
      </c>
      <c r="B14" t="s">
        <v>161</v>
      </c>
      <c r="C14" t="s">
        <v>86</v>
      </c>
      <c r="G14" s="23">
        <v>43668</v>
      </c>
      <c r="H14">
        <v>2</v>
      </c>
      <c r="I14">
        <v>923</v>
      </c>
      <c r="J14">
        <v>5</v>
      </c>
      <c r="K14">
        <v>5</v>
      </c>
      <c r="L14">
        <v>8</v>
      </c>
      <c r="M14">
        <v>7</v>
      </c>
      <c r="N14">
        <v>0.5</v>
      </c>
      <c r="O14">
        <v>0.5</v>
      </c>
      <c r="P14">
        <v>0.79400000000000004</v>
      </c>
      <c r="Q14">
        <v>0.69599999999999995</v>
      </c>
      <c r="R14">
        <v>-123.13963320000001</v>
      </c>
      <c r="S14">
        <v>44.216331500000003</v>
      </c>
      <c r="T14">
        <v>6.25</v>
      </c>
      <c r="U14">
        <v>0.73058829999999997</v>
      </c>
      <c r="V14">
        <v>0</v>
      </c>
      <c r="W14">
        <v>488845.625</v>
      </c>
      <c r="X14">
        <v>4895910.5</v>
      </c>
      <c r="Y14">
        <v>1</v>
      </c>
      <c r="Z14">
        <v>0</v>
      </c>
      <c r="AA14">
        <v>6</v>
      </c>
      <c r="AB14">
        <v>0.12749170000000001</v>
      </c>
      <c r="AC14">
        <v>0.59799999999999998</v>
      </c>
      <c r="AD14">
        <v>1</v>
      </c>
      <c r="AE14">
        <v>6</v>
      </c>
      <c r="AF14">
        <v>0.21373780000000001</v>
      </c>
      <c r="AG14">
        <v>0.59799999999999998</v>
      </c>
      <c r="AH14">
        <v>0</v>
      </c>
      <c r="AI14">
        <v>31.052177400000001</v>
      </c>
      <c r="AJ14">
        <v>0.12630920000000001</v>
      </c>
      <c r="AK14">
        <v>1</v>
      </c>
      <c r="AL14">
        <v>0.14956510000000001</v>
      </c>
      <c r="AM14">
        <v>1</v>
      </c>
      <c r="AN14">
        <v>1</v>
      </c>
      <c r="AO14">
        <v>101</v>
      </c>
      <c r="AP14">
        <v>101</v>
      </c>
      <c r="AQ14">
        <v>923</v>
      </c>
      <c r="AR14">
        <v>823</v>
      </c>
      <c r="AS14">
        <v>2025</v>
      </c>
      <c r="AT14" s="23">
        <v>45813</v>
      </c>
      <c r="AU14" s="23" t="s">
        <v>153</v>
      </c>
      <c r="AV14">
        <v>0</v>
      </c>
      <c r="AW14">
        <v>488845.61999999901</v>
      </c>
      <c r="AX14">
        <v>4895910.5</v>
      </c>
      <c r="AY14">
        <v>1256.63706143591</v>
      </c>
      <c r="AZ14">
        <v>125663.706143591</v>
      </c>
      <c r="BA14">
        <v>6.4700000000000001E-4</v>
      </c>
      <c r="BB14">
        <v>7.1469999999999997E-4</v>
      </c>
      <c r="BC14">
        <v>7.1489999999999998E-4</v>
      </c>
      <c r="BD14">
        <v>-0.1489181</v>
      </c>
      <c r="BE14">
        <v>-0.14885039999999999</v>
      </c>
      <c r="BF14">
        <v>-0.14885019999999999</v>
      </c>
    </row>
    <row r="15" spans="1:58">
      <c r="A15">
        <v>513</v>
      </c>
      <c r="B15" t="s">
        <v>162</v>
      </c>
      <c r="C15" t="s">
        <v>88</v>
      </c>
      <c r="G15" s="23">
        <v>43668</v>
      </c>
      <c r="H15">
        <v>2</v>
      </c>
      <c r="I15">
        <v>948</v>
      </c>
      <c r="J15">
        <v>7</v>
      </c>
      <c r="K15">
        <v>7</v>
      </c>
      <c r="L15">
        <v>5</v>
      </c>
      <c r="M15">
        <v>8</v>
      </c>
      <c r="N15">
        <v>0.69599999999999995</v>
      </c>
      <c r="O15">
        <v>0.69599999999999995</v>
      </c>
      <c r="P15">
        <v>0.5</v>
      </c>
      <c r="Q15">
        <v>0.79400000000000004</v>
      </c>
      <c r="R15">
        <v>-122.9600906</v>
      </c>
      <c r="S15">
        <v>44.388904599999996</v>
      </c>
      <c r="T15">
        <v>6.75</v>
      </c>
      <c r="U15">
        <v>0.78823529999999997</v>
      </c>
      <c r="V15">
        <v>0.80859700000000001</v>
      </c>
      <c r="W15">
        <v>503178.9375</v>
      </c>
      <c r="X15">
        <v>4915070</v>
      </c>
      <c r="Y15">
        <v>0</v>
      </c>
      <c r="AA15">
        <v>4</v>
      </c>
      <c r="AB15">
        <v>0</v>
      </c>
      <c r="AC15">
        <v>0.40200000000000002</v>
      </c>
      <c r="AD15">
        <v>0</v>
      </c>
      <c r="AE15">
        <v>8</v>
      </c>
      <c r="AF15">
        <v>0.89127959999999995</v>
      </c>
      <c r="AG15">
        <v>0.79400000000000004</v>
      </c>
      <c r="AH15">
        <v>1</v>
      </c>
      <c r="AI15">
        <v>31.052177400000001</v>
      </c>
      <c r="AJ15">
        <v>1E-4</v>
      </c>
      <c r="AK15">
        <v>0</v>
      </c>
      <c r="AL15">
        <v>0.24299660000000001</v>
      </c>
      <c r="AM15">
        <v>1</v>
      </c>
      <c r="AN15">
        <v>1</v>
      </c>
      <c r="AO15">
        <v>96</v>
      </c>
      <c r="AP15">
        <v>96</v>
      </c>
      <c r="AQ15">
        <v>948</v>
      </c>
      <c r="AR15">
        <v>818</v>
      </c>
      <c r="AS15">
        <v>2025</v>
      </c>
      <c r="AT15" s="23">
        <v>45813</v>
      </c>
      <c r="AU15" s="23" t="s">
        <v>153</v>
      </c>
      <c r="AV15">
        <v>0</v>
      </c>
      <c r="AW15">
        <v>503178.929999999</v>
      </c>
      <c r="AX15">
        <v>4915070</v>
      </c>
      <c r="AY15">
        <v>1256.63706143591</v>
      </c>
      <c r="AZ15">
        <v>125663.706143591</v>
      </c>
      <c r="BA15">
        <v>0.28882039999999998</v>
      </c>
      <c r="BB15">
        <v>0.32781339999999998</v>
      </c>
      <c r="BC15">
        <v>7.9580000000000004E-4</v>
      </c>
      <c r="BD15">
        <v>4.5823900000000001E-2</v>
      </c>
      <c r="BE15">
        <v>8.4816799999999998E-2</v>
      </c>
      <c r="BF15">
        <v>-0.24220079999999999</v>
      </c>
    </row>
    <row r="16" spans="1:58">
      <c r="A16">
        <v>658</v>
      </c>
      <c r="B16" t="s">
        <v>163</v>
      </c>
      <c r="C16" t="s">
        <v>86</v>
      </c>
      <c r="G16" s="23">
        <v>43668</v>
      </c>
      <c r="H16">
        <v>2</v>
      </c>
      <c r="I16">
        <v>1074</v>
      </c>
      <c r="J16">
        <v>8</v>
      </c>
      <c r="K16">
        <v>8</v>
      </c>
      <c r="L16">
        <v>8</v>
      </c>
      <c r="M16">
        <v>8</v>
      </c>
      <c r="N16">
        <v>0.79400000000000004</v>
      </c>
      <c r="O16">
        <v>0.79400000000000004</v>
      </c>
      <c r="P16">
        <v>0.79400000000000004</v>
      </c>
      <c r="Q16">
        <v>0.79400000000000004</v>
      </c>
      <c r="R16">
        <v>-123.161377</v>
      </c>
      <c r="S16">
        <v>44.259391800000003</v>
      </c>
      <c r="T16">
        <v>8</v>
      </c>
      <c r="U16">
        <v>0.93235299999999999</v>
      </c>
      <c r="V16">
        <v>0.22653100000000001</v>
      </c>
      <c r="W16">
        <v>487118.46875</v>
      </c>
      <c r="X16">
        <v>4900696.5</v>
      </c>
      <c r="Y16">
        <v>0</v>
      </c>
      <c r="AA16">
        <v>2</v>
      </c>
      <c r="AB16">
        <v>0</v>
      </c>
      <c r="AC16">
        <v>0.20599999999999999</v>
      </c>
      <c r="AD16">
        <v>0</v>
      </c>
      <c r="AE16">
        <v>3</v>
      </c>
      <c r="AF16">
        <v>0</v>
      </c>
      <c r="AG16">
        <v>0.30399999999999999</v>
      </c>
      <c r="AH16">
        <v>0</v>
      </c>
      <c r="AI16">
        <v>31.052177400000001</v>
      </c>
      <c r="AJ16">
        <v>1E-4</v>
      </c>
      <c r="AK16">
        <v>0</v>
      </c>
      <c r="AL16">
        <v>0.24397559999999999</v>
      </c>
      <c r="AM16">
        <v>1</v>
      </c>
      <c r="AN16">
        <v>1</v>
      </c>
      <c r="AO16">
        <v>104</v>
      </c>
      <c r="AP16">
        <v>104</v>
      </c>
      <c r="AQ16">
        <v>1074</v>
      </c>
      <c r="AR16">
        <v>826</v>
      </c>
      <c r="AS16">
        <v>2025</v>
      </c>
      <c r="AT16" s="23">
        <v>45813</v>
      </c>
      <c r="AU16" s="23" t="s">
        <v>153</v>
      </c>
      <c r="AV16">
        <v>2</v>
      </c>
      <c r="AW16">
        <v>487118.46</v>
      </c>
      <c r="AX16">
        <v>4900696.5</v>
      </c>
      <c r="AY16">
        <v>1256.63706143591</v>
      </c>
      <c r="AZ16">
        <v>125663.706143591</v>
      </c>
      <c r="BA16">
        <v>6.3661999999999998E-3</v>
      </c>
      <c r="BB16">
        <v>7.9580000000000004E-4</v>
      </c>
      <c r="BC16">
        <v>7.1560000000000005E-4</v>
      </c>
      <c r="BD16">
        <v>-0.2376094</v>
      </c>
      <c r="BE16">
        <v>-0.2431798</v>
      </c>
      <c r="BF16">
        <v>-0.24326</v>
      </c>
    </row>
    <row r="17" spans="1:58">
      <c r="A17">
        <v>708</v>
      </c>
      <c r="B17" t="s">
        <v>164</v>
      </c>
      <c r="C17" t="s">
        <v>131</v>
      </c>
      <c r="G17" s="23">
        <v>43668</v>
      </c>
      <c r="H17">
        <v>2</v>
      </c>
      <c r="I17">
        <v>1117</v>
      </c>
      <c r="J17">
        <v>7</v>
      </c>
      <c r="K17">
        <v>8</v>
      </c>
      <c r="L17">
        <v>6</v>
      </c>
      <c r="M17">
        <v>8</v>
      </c>
      <c r="N17">
        <v>0.69599999999999995</v>
      </c>
      <c r="O17">
        <v>0.79400000000000004</v>
      </c>
      <c r="P17">
        <v>0.59799999999999998</v>
      </c>
      <c r="Q17">
        <v>0.79400000000000004</v>
      </c>
      <c r="R17">
        <v>-123.027359</v>
      </c>
      <c r="S17">
        <v>44.432453199999998</v>
      </c>
      <c r="T17">
        <v>7.25</v>
      </c>
      <c r="U17">
        <v>0.84588240000000003</v>
      </c>
      <c r="V17">
        <v>0.39760440000000002</v>
      </c>
      <c r="W17">
        <v>497822.4375</v>
      </c>
      <c r="X17">
        <v>4919906.5</v>
      </c>
      <c r="Y17">
        <v>0</v>
      </c>
      <c r="AA17">
        <v>5</v>
      </c>
      <c r="AB17">
        <v>0</v>
      </c>
      <c r="AC17">
        <v>0.5</v>
      </c>
      <c r="AD17">
        <v>0</v>
      </c>
      <c r="AE17">
        <v>6</v>
      </c>
      <c r="AF17">
        <v>1.01355E-2</v>
      </c>
      <c r="AG17">
        <v>0.59799999999999998</v>
      </c>
      <c r="AH17">
        <v>0</v>
      </c>
      <c r="AI17">
        <v>31.052177400000001</v>
      </c>
      <c r="AJ17">
        <v>1.5915E-3</v>
      </c>
      <c r="AK17">
        <v>0</v>
      </c>
      <c r="AL17">
        <v>0.32352239999999999</v>
      </c>
      <c r="AM17">
        <v>1</v>
      </c>
      <c r="AN17">
        <v>1</v>
      </c>
      <c r="AO17">
        <v>94</v>
      </c>
      <c r="AP17">
        <v>94</v>
      </c>
      <c r="AQ17">
        <v>1117</v>
      </c>
      <c r="AR17">
        <v>816</v>
      </c>
      <c r="AS17">
        <v>2025</v>
      </c>
      <c r="AT17" s="23">
        <v>45813</v>
      </c>
      <c r="AU17" s="23" t="s">
        <v>153</v>
      </c>
      <c r="AV17">
        <v>0</v>
      </c>
      <c r="AW17">
        <v>497822.429999999</v>
      </c>
      <c r="AX17">
        <v>4919906.5</v>
      </c>
      <c r="AY17">
        <v>1256.63706143591</v>
      </c>
      <c r="AZ17">
        <v>125663.706143591</v>
      </c>
      <c r="BA17">
        <v>7.9580000000000004E-4</v>
      </c>
      <c r="BB17">
        <v>5.7399999999999997E-4</v>
      </c>
      <c r="BC17">
        <v>1.0143999999999999E-3</v>
      </c>
      <c r="BD17">
        <v>-0.32272659999999997</v>
      </c>
      <c r="BE17">
        <v>-0.32294840000000002</v>
      </c>
      <c r="BF17">
        <v>-0.32250790000000001</v>
      </c>
    </row>
    <row r="18" spans="1:58">
      <c r="A18">
        <v>1450</v>
      </c>
      <c r="B18" t="s">
        <v>165</v>
      </c>
      <c r="C18" t="s">
        <v>88</v>
      </c>
      <c r="G18" s="23">
        <v>43668</v>
      </c>
      <c r="H18">
        <v>2</v>
      </c>
      <c r="I18">
        <v>1740</v>
      </c>
      <c r="J18">
        <v>6</v>
      </c>
      <c r="K18">
        <v>6</v>
      </c>
      <c r="L18">
        <v>8</v>
      </c>
      <c r="M18">
        <v>8</v>
      </c>
      <c r="N18">
        <v>0.59799999999999998</v>
      </c>
      <c r="O18">
        <v>0.59799999999999998</v>
      </c>
      <c r="P18">
        <v>0.79400000000000004</v>
      </c>
      <c r="Q18">
        <v>0.79400000000000004</v>
      </c>
      <c r="R18">
        <v>-122.99179839999999</v>
      </c>
      <c r="S18">
        <v>44.3992729</v>
      </c>
      <c r="T18">
        <v>7</v>
      </c>
      <c r="U18">
        <v>0.81705879999999997</v>
      </c>
      <c r="V18">
        <v>6.9899999999999997E-4</v>
      </c>
      <c r="W18">
        <v>500653.125</v>
      </c>
      <c r="X18">
        <v>4916221</v>
      </c>
      <c r="Y18">
        <v>0</v>
      </c>
      <c r="AA18">
        <v>3</v>
      </c>
      <c r="AB18">
        <v>0</v>
      </c>
      <c r="AC18">
        <v>0.30399999999999999</v>
      </c>
      <c r="AD18">
        <v>0</v>
      </c>
      <c r="AE18">
        <v>8</v>
      </c>
      <c r="AF18">
        <v>0.1984272</v>
      </c>
      <c r="AG18">
        <v>0.79400000000000004</v>
      </c>
      <c r="AH18">
        <v>0</v>
      </c>
      <c r="AI18">
        <v>31.052177400000001</v>
      </c>
      <c r="AJ18">
        <v>0.1614728</v>
      </c>
      <c r="AK18">
        <v>1</v>
      </c>
      <c r="AL18">
        <v>0.17586399999999999</v>
      </c>
      <c r="AM18">
        <v>1</v>
      </c>
      <c r="AN18">
        <v>1</v>
      </c>
      <c r="AO18">
        <v>95</v>
      </c>
      <c r="AP18">
        <v>95</v>
      </c>
      <c r="AQ18">
        <v>1740</v>
      </c>
      <c r="AR18">
        <v>817</v>
      </c>
      <c r="AS18">
        <v>2025</v>
      </c>
      <c r="AT18" s="23">
        <v>45813</v>
      </c>
      <c r="AU18" s="23" t="s">
        <v>153</v>
      </c>
      <c r="AV18">
        <v>0</v>
      </c>
      <c r="AW18">
        <v>500653.11999999901</v>
      </c>
      <c r="AX18">
        <v>4916221</v>
      </c>
      <c r="AY18">
        <v>1256.63706143591</v>
      </c>
      <c r="AZ18">
        <v>125663.706143591</v>
      </c>
      <c r="BA18">
        <v>0.18340429999999999</v>
      </c>
      <c r="BB18">
        <v>0.18181269999999999</v>
      </c>
      <c r="BC18">
        <v>0.18897530000000001</v>
      </c>
      <c r="BD18">
        <v>7.5404000000000001E-3</v>
      </c>
      <c r="BE18">
        <v>5.9487999999999997E-3</v>
      </c>
      <c r="BF18">
        <v>1.31114E-2</v>
      </c>
    </row>
    <row r="19" spans="1:58">
      <c r="A19">
        <v>2716</v>
      </c>
      <c r="B19" t="s">
        <v>166</v>
      </c>
      <c r="C19" t="s">
        <v>88</v>
      </c>
      <c r="G19" s="23">
        <v>43668</v>
      </c>
      <c r="H19">
        <v>2</v>
      </c>
      <c r="I19">
        <v>2792</v>
      </c>
      <c r="J19">
        <v>6</v>
      </c>
      <c r="K19">
        <v>7</v>
      </c>
      <c r="L19">
        <v>6</v>
      </c>
      <c r="M19">
        <v>8</v>
      </c>
      <c r="N19">
        <v>0.59799999999999998</v>
      </c>
      <c r="O19">
        <v>0.69599999999999995</v>
      </c>
      <c r="P19">
        <v>0.59799999999999998</v>
      </c>
      <c r="Q19">
        <v>0.79400000000000004</v>
      </c>
      <c r="R19">
        <v>-123.0129013</v>
      </c>
      <c r="S19">
        <v>44.352191900000001</v>
      </c>
      <c r="T19">
        <v>6.75</v>
      </c>
      <c r="U19">
        <v>0.78823529999999997</v>
      </c>
      <c r="V19">
        <v>0.30110019999999998</v>
      </c>
      <c r="W19">
        <v>498971.71875</v>
      </c>
      <c r="X19">
        <v>4910991</v>
      </c>
      <c r="Y19">
        <v>0</v>
      </c>
      <c r="AA19">
        <v>5</v>
      </c>
      <c r="AB19">
        <v>1.0954999999999999E-3</v>
      </c>
      <c r="AC19">
        <v>0.5</v>
      </c>
      <c r="AD19">
        <v>0</v>
      </c>
      <c r="AE19">
        <v>5</v>
      </c>
      <c r="AF19">
        <v>5.4889999999999995E-4</v>
      </c>
      <c r="AG19">
        <v>0.5</v>
      </c>
      <c r="AH19">
        <v>1</v>
      </c>
      <c r="AI19">
        <v>31.052177400000001</v>
      </c>
      <c r="AJ19">
        <v>2.3873000000000002E-3</v>
      </c>
      <c r="AK19">
        <v>1</v>
      </c>
      <c r="AL19">
        <v>0.15864349999999999</v>
      </c>
      <c r="AM19">
        <v>1</v>
      </c>
      <c r="AN19">
        <v>1</v>
      </c>
      <c r="AO19">
        <v>99</v>
      </c>
      <c r="AP19">
        <v>99</v>
      </c>
      <c r="AQ19">
        <v>2792</v>
      </c>
      <c r="AR19">
        <v>821</v>
      </c>
      <c r="AS19">
        <v>2025</v>
      </c>
      <c r="AT19" s="23">
        <v>45813</v>
      </c>
      <c r="AU19" s="23" t="s">
        <v>153</v>
      </c>
      <c r="AV19">
        <v>0</v>
      </c>
      <c r="AW19">
        <v>498971.71</v>
      </c>
      <c r="AX19">
        <v>4910991</v>
      </c>
      <c r="AY19">
        <v>1256.63706143591</v>
      </c>
      <c r="AZ19">
        <v>125663.706143591</v>
      </c>
      <c r="BA19">
        <v>0.23256950000000001</v>
      </c>
      <c r="BB19">
        <v>1.27324E-2</v>
      </c>
      <c r="BC19">
        <v>1.5915E-3</v>
      </c>
      <c r="BD19">
        <v>7.3926000000000006E-2</v>
      </c>
      <c r="BE19">
        <v>-0.14591109999999999</v>
      </c>
      <c r="BF19">
        <v>-0.15705189999999999</v>
      </c>
    </row>
    <row r="20" spans="1:58">
      <c r="A20">
        <v>3897</v>
      </c>
      <c r="B20" t="s">
        <v>167</v>
      </c>
      <c r="C20" t="s">
        <v>88</v>
      </c>
      <c r="G20" s="23">
        <v>43668</v>
      </c>
      <c r="H20">
        <v>3</v>
      </c>
      <c r="I20">
        <v>3707</v>
      </c>
      <c r="J20">
        <v>5</v>
      </c>
      <c r="K20">
        <v>5</v>
      </c>
      <c r="L20">
        <v>7</v>
      </c>
      <c r="M20">
        <v>6</v>
      </c>
      <c r="N20">
        <v>0.5</v>
      </c>
      <c r="O20">
        <v>0.5</v>
      </c>
      <c r="P20">
        <v>0.69599999999999995</v>
      </c>
      <c r="Q20">
        <v>0.59799999999999998</v>
      </c>
      <c r="R20">
        <v>-123.1728134</v>
      </c>
      <c r="S20">
        <v>44.231506299999999</v>
      </c>
      <c r="T20">
        <v>5.75</v>
      </c>
      <c r="U20">
        <v>0.67294109999999996</v>
      </c>
      <c r="V20">
        <v>0</v>
      </c>
      <c r="W20">
        <v>486198.84375</v>
      </c>
      <c r="X20">
        <v>4897600.5</v>
      </c>
      <c r="Y20">
        <v>0</v>
      </c>
      <c r="AA20">
        <v>6</v>
      </c>
      <c r="AB20">
        <v>2.1570999999999999E-3</v>
      </c>
      <c r="AC20">
        <v>0.59799999999999998</v>
      </c>
      <c r="AD20">
        <v>0</v>
      </c>
      <c r="AE20">
        <v>8</v>
      </c>
      <c r="AF20">
        <v>0.25802049999999999</v>
      </c>
      <c r="AG20">
        <v>0.79400000000000004</v>
      </c>
      <c r="AH20">
        <v>0</v>
      </c>
      <c r="AI20">
        <v>31.052177400000001</v>
      </c>
      <c r="AJ20">
        <v>0.28112870000000001</v>
      </c>
      <c r="AK20">
        <v>1</v>
      </c>
      <c r="AL20">
        <v>0.24128250000000001</v>
      </c>
      <c r="AM20">
        <v>1</v>
      </c>
      <c r="AN20">
        <v>1</v>
      </c>
      <c r="AO20">
        <v>102</v>
      </c>
      <c r="AP20">
        <v>102</v>
      </c>
      <c r="AQ20">
        <v>3707</v>
      </c>
      <c r="AR20">
        <v>824</v>
      </c>
      <c r="AS20">
        <v>2025</v>
      </c>
      <c r="AT20" s="23">
        <v>45813</v>
      </c>
      <c r="AU20" s="23" t="s">
        <v>153</v>
      </c>
      <c r="AV20">
        <v>0</v>
      </c>
      <c r="AW20">
        <v>486198.84</v>
      </c>
      <c r="AX20">
        <v>4897600.5</v>
      </c>
      <c r="AY20">
        <v>1256.63706143591</v>
      </c>
      <c r="AZ20">
        <v>125663.706143591</v>
      </c>
      <c r="BA20">
        <v>2.3873000000000002E-3</v>
      </c>
      <c r="BB20">
        <v>7.9580000000000004E-4</v>
      </c>
      <c r="BC20">
        <v>0.32540790000000003</v>
      </c>
      <c r="BD20">
        <v>-0.2388952</v>
      </c>
      <c r="BE20">
        <v>-0.2404867</v>
      </c>
      <c r="BF20">
        <v>8.4125400000000003E-2</v>
      </c>
    </row>
    <row r="21" spans="1:58">
      <c r="A21">
        <v>5293</v>
      </c>
      <c r="B21" t="s">
        <v>168</v>
      </c>
      <c r="C21" t="s">
        <v>98</v>
      </c>
      <c r="G21" s="23">
        <v>43668</v>
      </c>
      <c r="H21">
        <v>3</v>
      </c>
      <c r="I21">
        <v>4732</v>
      </c>
      <c r="J21">
        <v>6</v>
      </c>
      <c r="K21">
        <v>8</v>
      </c>
      <c r="L21">
        <v>8</v>
      </c>
      <c r="M21">
        <v>6</v>
      </c>
      <c r="N21">
        <v>0.59799999999999998</v>
      </c>
      <c r="O21">
        <v>0.79400000000000004</v>
      </c>
      <c r="P21">
        <v>0.79400000000000004</v>
      </c>
      <c r="Q21">
        <v>0.59799999999999998</v>
      </c>
      <c r="R21">
        <v>-123.19911190000001</v>
      </c>
      <c r="S21">
        <v>44.244308500000002</v>
      </c>
      <c r="T21">
        <v>7</v>
      </c>
      <c r="U21">
        <v>0.81705879999999997</v>
      </c>
      <c r="V21">
        <v>0</v>
      </c>
      <c r="W21">
        <v>484101.9375</v>
      </c>
      <c r="X21">
        <v>4899027.5</v>
      </c>
      <c r="Y21">
        <v>1</v>
      </c>
      <c r="Z21">
        <v>0</v>
      </c>
      <c r="AA21">
        <v>4</v>
      </c>
      <c r="AB21">
        <v>0</v>
      </c>
      <c r="AC21">
        <v>0.40200000000000002</v>
      </c>
      <c r="AD21">
        <v>0</v>
      </c>
      <c r="AE21">
        <v>8</v>
      </c>
      <c r="AF21">
        <v>0.29092459999999998</v>
      </c>
      <c r="AG21">
        <v>0.79400000000000004</v>
      </c>
      <c r="AH21">
        <v>0</v>
      </c>
      <c r="AI21">
        <v>31.052177400000001</v>
      </c>
      <c r="AJ21">
        <v>1E-4</v>
      </c>
      <c r="AK21">
        <v>0</v>
      </c>
      <c r="AL21">
        <v>0.28555429999999998</v>
      </c>
      <c r="AM21">
        <v>1</v>
      </c>
      <c r="AN21">
        <v>1</v>
      </c>
      <c r="AO21">
        <v>103</v>
      </c>
      <c r="AP21">
        <v>103</v>
      </c>
      <c r="AQ21">
        <v>4732</v>
      </c>
      <c r="AR21">
        <v>825</v>
      </c>
      <c r="AS21">
        <v>2025</v>
      </c>
      <c r="AT21" s="23">
        <v>45813</v>
      </c>
      <c r="AU21" s="23" t="s">
        <v>153</v>
      </c>
      <c r="AV21">
        <v>0</v>
      </c>
      <c r="AW21">
        <v>484101.929999999</v>
      </c>
      <c r="AX21">
        <v>4899027.5</v>
      </c>
      <c r="AY21">
        <v>1256.63706143591</v>
      </c>
      <c r="AZ21">
        <v>125663.706143591</v>
      </c>
      <c r="BA21">
        <v>0.31185610000000002</v>
      </c>
      <c r="BB21">
        <v>0.37788500000000003</v>
      </c>
      <c r="BC21">
        <v>7.9580000000000004E-4</v>
      </c>
      <c r="BD21">
        <v>2.63018E-2</v>
      </c>
      <c r="BE21">
        <v>9.2330700000000002E-2</v>
      </c>
      <c r="BF21">
        <v>-0.28475850000000003</v>
      </c>
    </row>
    <row r="22" spans="1:58">
      <c r="A22">
        <v>5594</v>
      </c>
      <c r="B22" t="s">
        <v>169</v>
      </c>
      <c r="C22" t="s">
        <v>88</v>
      </c>
      <c r="G22" s="23">
        <v>43668</v>
      </c>
      <c r="H22">
        <v>2</v>
      </c>
      <c r="I22">
        <v>4981</v>
      </c>
      <c r="J22">
        <v>6</v>
      </c>
      <c r="K22">
        <v>7</v>
      </c>
      <c r="L22">
        <v>8</v>
      </c>
      <c r="M22">
        <v>7</v>
      </c>
      <c r="N22">
        <v>0.59799999999999998</v>
      </c>
      <c r="O22">
        <v>0.69599999999999995</v>
      </c>
      <c r="P22">
        <v>0.79400000000000004</v>
      </c>
      <c r="Q22">
        <v>0.69599999999999995</v>
      </c>
      <c r="R22">
        <v>-122.9447632</v>
      </c>
      <c r="S22">
        <v>44.375331899999999</v>
      </c>
      <c r="T22">
        <v>7</v>
      </c>
      <c r="U22">
        <v>0.81705879999999997</v>
      </c>
      <c r="V22">
        <v>0.11485389999999999</v>
      </c>
      <c r="W22">
        <v>504400.46875</v>
      </c>
      <c r="X22">
        <v>4913563</v>
      </c>
      <c r="Y22">
        <v>0</v>
      </c>
      <c r="AA22">
        <v>3</v>
      </c>
      <c r="AB22">
        <v>0</v>
      </c>
      <c r="AC22">
        <v>0.30399999999999999</v>
      </c>
      <c r="AD22">
        <v>0</v>
      </c>
      <c r="AE22">
        <v>8</v>
      </c>
      <c r="AF22">
        <v>0.22336439999999999</v>
      </c>
      <c r="AG22">
        <v>0.79400000000000004</v>
      </c>
      <c r="AH22">
        <v>0</v>
      </c>
      <c r="AI22">
        <v>31.052177400000001</v>
      </c>
      <c r="AJ22">
        <v>1.27324E-2</v>
      </c>
      <c r="AK22">
        <v>1</v>
      </c>
      <c r="AL22">
        <v>0.34244960000000002</v>
      </c>
      <c r="AM22">
        <v>1</v>
      </c>
      <c r="AN22">
        <v>1</v>
      </c>
      <c r="AO22">
        <v>98</v>
      </c>
      <c r="AP22">
        <v>98</v>
      </c>
      <c r="AQ22">
        <v>4981</v>
      </c>
      <c r="AR22">
        <v>820</v>
      </c>
      <c r="AS22">
        <v>2025</v>
      </c>
      <c r="AT22" s="23">
        <v>45813</v>
      </c>
      <c r="AU22" s="23" t="s">
        <v>153</v>
      </c>
      <c r="AV22">
        <v>1</v>
      </c>
      <c r="AW22">
        <v>504400.46</v>
      </c>
      <c r="AX22">
        <v>4913563</v>
      </c>
      <c r="AY22">
        <v>1256.63706143591</v>
      </c>
      <c r="AZ22">
        <v>125663.706143591</v>
      </c>
      <c r="BA22">
        <v>0.1258976</v>
      </c>
      <c r="BB22">
        <v>7.6064900000000005E-2</v>
      </c>
      <c r="BC22">
        <v>7.5185299999999997E-2</v>
      </c>
      <c r="BD22">
        <v>-0.21655199999999999</v>
      </c>
      <c r="BE22">
        <v>-0.26638469999999997</v>
      </c>
      <c r="BF22">
        <v>-0.26726430000000001</v>
      </c>
    </row>
    <row r="23" spans="1:58">
      <c r="A23">
        <v>6047</v>
      </c>
      <c r="B23" t="s">
        <v>170</v>
      </c>
      <c r="C23" t="s">
        <v>98</v>
      </c>
      <c r="G23" s="23">
        <v>43668</v>
      </c>
      <c r="H23">
        <v>2</v>
      </c>
      <c r="I23">
        <v>5276</v>
      </c>
      <c r="J23">
        <v>6</v>
      </c>
      <c r="K23">
        <v>8</v>
      </c>
      <c r="L23">
        <v>8</v>
      </c>
      <c r="M23">
        <v>8</v>
      </c>
      <c r="N23">
        <v>0.59799999999999998</v>
      </c>
      <c r="O23">
        <v>0.79400000000000004</v>
      </c>
      <c r="P23">
        <v>0.79400000000000004</v>
      </c>
      <c r="Q23">
        <v>0.79400000000000004</v>
      </c>
      <c r="R23">
        <v>-122.90290830000001</v>
      </c>
      <c r="S23">
        <v>44.373016399999997</v>
      </c>
      <c r="T23">
        <v>7.5</v>
      </c>
      <c r="U23">
        <v>0.87470590000000004</v>
      </c>
      <c r="V23">
        <v>0.46403759999999999</v>
      </c>
      <c r="W23">
        <v>507735.1875</v>
      </c>
      <c r="X23">
        <v>4913309</v>
      </c>
      <c r="Y23">
        <v>0</v>
      </c>
      <c r="AA23">
        <v>5</v>
      </c>
      <c r="AB23">
        <v>4.1590000000000003E-4</v>
      </c>
      <c r="AC23">
        <v>0.5</v>
      </c>
      <c r="AD23">
        <v>0</v>
      </c>
      <c r="AE23">
        <v>4</v>
      </c>
      <c r="AF23">
        <v>0</v>
      </c>
      <c r="AG23">
        <v>0.40200000000000002</v>
      </c>
      <c r="AH23">
        <v>0</v>
      </c>
      <c r="AI23">
        <v>31.052177400000001</v>
      </c>
      <c r="AJ23">
        <v>1E-4</v>
      </c>
      <c r="AK23">
        <v>0</v>
      </c>
      <c r="AL23">
        <v>0.37765349999999998</v>
      </c>
      <c r="AM23">
        <v>1</v>
      </c>
      <c r="AN23">
        <v>1</v>
      </c>
      <c r="AO23">
        <v>97</v>
      </c>
      <c r="AP23">
        <v>97</v>
      </c>
      <c r="AQ23">
        <v>5276</v>
      </c>
      <c r="AR23">
        <v>819</v>
      </c>
      <c r="AS23">
        <v>2025</v>
      </c>
      <c r="AT23" s="23">
        <v>45813</v>
      </c>
      <c r="AU23" s="23" t="s">
        <v>153</v>
      </c>
      <c r="AV23">
        <v>0</v>
      </c>
      <c r="AW23">
        <v>507735.179999999</v>
      </c>
      <c r="AX23">
        <v>4913309</v>
      </c>
      <c r="AY23">
        <v>1256.63706143591</v>
      </c>
      <c r="AZ23">
        <v>125663.706143591</v>
      </c>
      <c r="BA23">
        <v>1.5915E-3</v>
      </c>
      <c r="BB23">
        <v>7.9580000000000004E-4</v>
      </c>
      <c r="BC23">
        <v>7.9580000000000004E-4</v>
      </c>
      <c r="BD23">
        <v>-0.3760619</v>
      </c>
      <c r="BE23">
        <v>-0.37685770000000002</v>
      </c>
      <c r="BF23">
        <v>-0.37685770000000002</v>
      </c>
    </row>
    <row r="24" spans="1:58">
      <c r="A24">
        <v>6749</v>
      </c>
      <c r="B24" t="s">
        <v>163</v>
      </c>
      <c r="C24" t="s">
        <v>86</v>
      </c>
      <c r="G24" s="23">
        <v>43668</v>
      </c>
      <c r="H24">
        <v>2</v>
      </c>
      <c r="I24">
        <v>5774</v>
      </c>
      <c r="J24">
        <v>6</v>
      </c>
      <c r="K24">
        <v>6</v>
      </c>
      <c r="L24">
        <v>8</v>
      </c>
      <c r="M24">
        <v>8</v>
      </c>
      <c r="N24">
        <v>0.59799999999999998</v>
      </c>
      <c r="O24">
        <v>0.59799999999999998</v>
      </c>
      <c r="P24">
        <v>0.79400000000000004</v>
      </c>
      <c r="Q24">
        <v>0.79400000000000004</v>
      </c>
      <c r="R24">
        <v>-123.068428</v>
      </c>
      <c r="S24">
        <v>44.226165799999997</v>
      </c>
      <c r="T24">
        <v>7</v>
      </c>
      <c r="U24">
        <v>0.81705879999999997</v>
      </c>
      <c r="V24">
        <v>0.1867443</v>
      </c>
      <c r="W24">
        <v>494534.65625</v>
      </c>
      <c r="X24">
        <v>4896995.5</v>
      </c>
      <c r="Y24">
        <v>0</v>
      </c>
      <c r="AA24">
        <v>6</v>
      </c>
      <c r="AB24">
        <v>5.5119999999999995E-4</v>
      </c>
      <c r="AC24">
        <v>0.59799999999999998</v>
      </c>
      <c r="AD24">
        <v>1</v>
      </c>
      <c r="AE24">
        <v>6</v>
      </c>
      <c r="AF24">
        <v>2.7206999999999999E-3</v>
      </c>
      <c r="AG24">
        <v>0.59799999999999998</v>
      </c>
      <c r="AH24">
        <v>1</v>
      </c>
      <c r="AI24">
        <v>31.052177400000001</v>
      </c>
      <c r="AJ24">
        <v>7.9580000000000004E-4</v>
      </c>
      <c r="AK24">
        <v>0</v>
      </c>
      <c r="AL24">
        <v>0.2176901</v>
      </c>
      <c r="AM24">
        <v>1</v>
      </c>
      <c r="AN24">
        <v>1</v>
      </c>
      <c r="AO24">
        <v>100</v>
      </c>
      <c r="AP24">
        <v>100</v>
      </c>
      <c r="AQ24">
        <v>5774</v>
      </c>
      <c r="AR24">
        <v>822</v>
      </c>
      <c r="AS24">
        <v>2025</v>
      </c>
      <c r="AT24" s="23">
        <v>45813</v>
      </c>
      <c r="AU24" s="23" t="s">
        <v>153</v>
      </c>
      <c r="AV24">
        <v>1</v>
      </c>
      <c r="AW24">
        <v>494534.65</v>
      </c>
      <c r="AX24">
        <v>4896995.5</v>
      </c>
      <c r="AY24">
        <v>1256.63706143591</v>
      </c>
      <c r="AZ24">
        <v>125663.706143591</v>
      </c>
      <c r="BA24">
        <v>2.3873000000000002E-3</v>
      </c>
      <c r="BB24">
        <v>3.1830999999999999E-3</v>
      </c>
      <c r="BC24">
        <v>3.1830999999999999E-3</v>
      </c>
      <c r="BD24">
        <v>-0.21530279999999999</v>
      </c>
      <c r="BE24">
        <v>-0.214507</v>
      </c>
      <c r="BF24">
        <v>-0.214507</v>
      </c>
    </row>
    <row r="25" spans="1:58">
      <c r="A25">
        <v>168</v>
      </c>
      <c r="B25" t="s">
        <v>171</v>
      </c>
      <c r="C25" t="s">
        <v>86</v>
      </c>
      <c r="G25" s="23">
        <v>43668</v>
      </c>
      <c r="H25">
        <v>2</v>
      </c>
      <c r="I25">
        <v>671</v>
      </c>
      <c r="J25">
        <v>5</v>
      </c>
      <c r="K25">
        <v>8</v>
      </c>
      <c r="L25">
        <v>8</v>
      </c>
      <c r="M25">
        <v>8</v>
      </c>
      <c r="N25">
        <v>0.5</v>
      </c>
      <c r="O25">
        <v>0.79400000000000004</v>
      </c>
      <c r="P25">
        <v>0.79400000000000004</v>
      </c>
      <c r="Q25">
        <v>0.79400000000000004</v>
      </c>
      <c r="R25">
        <v>-123.0796127</v>
      </c>
      <c r="S25">
        <v>44.499019599999997</v>
      </c>
      <c r="T25">
        <v>7.25</v>
      </c>
      <c r="U25">
        <v>0.84588240000000003</v>
      </c>
      <c r="V25">
        <v>0.20099919999999999</v>
      </c>
      <c r="W25">
        <v>493670.65625</v>
      </c>
      <c r="X25">
        <v>4927303.5</v>
      </c>
      <c r="Y25">
        <v>0</v>
      </c>
      <c r="AA25">
        <v>5</v>
      </c>
      <c r="AB25">
        <v>0</v>
      </c>
      <c r="AC25">
        <v>0.5</v>
      </c>
      <c r="AD25">
        <v>0</v>
      </c>
      <c r="AE25">
        <v>4</v>
      </c>
      <c r="AF25">
        <v>0</v>
      </c>
      <c r="AG25">
        <v>0.40200000000000002</v>
      </c>
      <c r="AH25">
        <v>0</v>
      </c>
      <c r="AI25">
        <v>31.052177400000001</v>
      </c>
      <c r="AJ25">
        <v>1E-4</v>
      </c>
      <c r="AK25">
        <v>0</v>
      </c>
      <c r="AL25">
        <v>0.2464606</v>
      </c>
      <c r="AM25">
        <v>1</v>
      </c>
      <c r="AN25">
        <v>1</v>
      </c>
      <c r="AO25">
        <v>93</v>
      </c>
      <c r="AP25">
        <v>93</v>
      </c>
      <c r="AQ25">
        <v>671</v>
      </c>
      <c r="AR25">
        <v>815</v>
      </c>
      <c r="AS25">
        <v>2025</v>
      </c>
      <c r="AT25" s="23">
        <v>45814</v>
      </c>
      <c r="AU25" s="23" t="s">
        <v>153</v>
      </c>
      <c r="AV25">
        <v>3</v>
      </c>
      <c r="AW25">
        <v>493670.65</v>
      </c>
      <c r="AX25">
        <v>4927303.5</v>
      </c>
      <c r="AY25">
        <v>1256.63706143591</v>
      </c>
      <c r="AZ25">
        <v>125663.706143591</v>
      </c>
      <c r="BA25">
        <v>2.8538000000000001E-3</v>
      </c>
      <c r="BB25">
        <v>7.9580000000000004E-4</v>
      </c>
      <c r="BC25">
        <v>7.9580000000000004E-4</v>
      </c>
      <c r="BD25">
        <v>-0.24360680000000001</v>
      </c>
      <c r="BE25">
        <v>-0.24566479999999999</v>
      </c>
      <c r="BF25">
        <v>-0.24566479999999999</v>
      </c>
    </row>
    <row r="26" spans="1:58">
      <c r="A26">
        <v>1001</v>
      </c>
      <c r="G26" s="23">
        <v>43668</v>
      </c>
      <c r="H26">
        <v>2</v>
      </c>
      <c r="I26">
        <v>1356</v>
      </c>
      <c r="J26">
        <v>8</v>
      </c>
      <c r="K26">
        <v>8</v>
      </c>
      <c r="L26">
        <v>6</v>
      </c>
      <c r="M26">
        <v>8</v>
      </c>
      <c r="N26">
        <v>0.79400000000000004</v>
      </c>
      <c r="O26">
        <v>0.79400000000000004</v>
      </c>
      <c r="P26">
        <v>0.59799999999999998</v>
      </c>
      <c r="Q26">
        <v>0.79400000000000004</v>
      </c>
      <c r="R26">
        <v>-123.10002900000001</v>
      </c>
      <c r="S26">
        <v>44.467556000000002</v>
      </c>
      <c r="T26">
        <v>7.5</v>
      </c>
      <c r="U26">
        <v>0.87470590000000004</v>
      </c>
      <c r="V26">
        <v>5.7470899999999998E-2</v>
      </c>
      <c r="W26">
        <v>492043.46875</v>
      </c>
      <c r="X26">
        <v>4923810</v>
      </c>
      <c r="Y26">
        <v>0</v>
      </c>
      <c r="AA26">
        <v>4</v>
      </c>
      <c r="AB26">
        <v>0</v>
      </c>
      <c r="AC26">
        <v>0.40200000000000002</v>
      </c>
      <c r="AD26">
        <v>0</v>
      </c>
      <c r="AE26">
        <v>7</v>
      </c>
      <c r="AF26">
        <v>0.11623600000000001</v>
      </c>
      <c r="AG26">
        <v>0.69599999999999995</v>
      </c>
      <c r="AH26">
        <v>1</v>
      </c>
      <c r="AI26">
        <v>31.052177400000001</v>
      </c>
      <c r="AJ26">
        <v>2.1214299999999998E-2</v>
      </c>
      <c r="AK26">
        <v>1</v>
      </c>
      <c r="AL26">
        <v>0.24879599999999999</v>
      </c>
      <c r="AM26">
        <v>1</v>
      </c>
      <c r="AN26">
        <v>1</v>
      </c>
      <c r="AO26">
        <v>92</v>
      </c>
      <c r="AP26">
        <v>92</v>
      </c>
      <c r="AQ26">
        <v>1356</v>
      </c>
      <c r="AR26">
        <v>814</v>
      </c>
      <c r="AS26">
        <v>2025</v>
      </c>
      <c r="AT26" s="23">
        <v>45814</v>
      </c>
      <c r="AU26" s="23" t="s">
        <v>153</v>
      </c>
      <c r="AV26">
        <v>4</v>
      </c>
      <c r="AW26">
        <v>492043.46</v>
      </c>
      <c r="AX26">
        <v>4923810</v>
      </c>
      <c r="AY26">
        <v>1256.63706143591</v>
      </c>
      <c r="AZ26">
        <v>125663.706143591</v>
      </c>
      <c r="BA26">
        <v>7.9580000000000004E-4</v>
      </c>
      <c r="BB26">
        <v>1.1949E-3</v>
      </c>
      <c r="BC26">
        <v>1.18215E-2</v>
      </c>
      <c r="BD26">
        <v>-0.2480002</v>
      </c>
      <c r="BE26">
        <v>-0.24760109999999999</v>
      </c>
      <c r="BF26">
        <v>-0.2369745</v>
      </c>
    </row>
    <row r="27" spans="1:58">
      <c r="A27">
        <v>1003</v>
      </c>
      <c r="B27" t="s">
        <v>172</v>
      </c>
      <c r="C27" t="s">
        <v>86</v>
      </c>
      <c r="D27" t="s">
        <v>137</v>
      </c>
      <c r="G27" s="23">
        <v>43668</v>
      </c>
      <c r="H27">
        <v>1</v>
      </c>
      <c r="I27">
        <v>1358</v>
      </c>
      <c r="J27">
        <v>7</v>
      </c>
      <c r="K27">
        <v>7</v>
      </c>
      <c r="L27">
        <v>8</v>
      </c>
      <c r="M27">
        <v>8</v>
      </c>
      <c r="N27">
        <v>0.69599999999999995</v>
      </c>
      <c r="O27">
        <v>0.69599999999999995</v>
      </c>
      <c r="P27">
        <v>0.79400000000000004</v>
      </c>
      <c r="Q27">
        <v>0.79400000000000004</v>
      </c>
      <c r="R27">
        <v>-122.7642822</v>
      </c>
      <c r="S27">
        <v>45.254199999999997</v>
      </c>
      <c r="T27">
        <v>7.5</v>
      </c>
      <c r="U27">
        <v>0.87470590000000004</v>
      </c>
      <c r="V27">
        <v>0.60092760000000001</v>
      </c>
      <c r="W27">
        <v>518495.75</v>
      </c>
      <c r="X27">
        <v>5011216.5</v>
      </c>
      <c r="Y27">
        <v>0</v>
      </c>
      <c r="AA27">
        <v>7</v>
      </c>
      <c r="AB27">
        <v>0.35871750000000002</v>
      </c>
      <c r="AC27">
        <v>0.69599999999999995</v>
      </c>
      <c r="AD27">
        <v>0</v>
      </c>
      <c r="AE27">
        <v>8</v>
      </c>
      <c r="AF27">
        <v>0.42360419999999999</v>
      </c>
      <c r="AG27">
        <v>0.79400000000000004</v>
      </c>
      <c r="AH27">
        <v>0</v>
      </c>
      <c r="AI27">
        <v>31.052177400000001</v>
      </c>
      <c r="AJ27">
        <v>0.48371910000000001</v>
      </c>
      <c r="AK27">
        <v>0</v>
      </c>
      <c r="AL27">
        <v>0.46160050000000002</v>
      </c>
      <c r="AM27">
        <v>1</v>
      </c>
      <c r="AN27">
        <v>1</v>
      </c>
      <c r="AO27">
        <v>85</v>
      </c>
      <c r="AP27">
        <v>85</v>
      </c>
      <c r="AQ27">
        <v>1358</v>
      </c>
      <c r="AR27">
        <v>807</v>
      </c>
      <c r="AS27">
        <v>2025</v>
      </c>
      <c r="AT27" s="23">
        <v>45814</v>
      </c>
      <c r="AU27" s="23" t="s">
        <v>153</v>
      </c>
      <c r="AV27">
        <v>0</v>
      </c>
      <c r="AW27">
        <v>518495.75</v>
      </c>
      <c r="AX27">
        <v>5011216.5</v>
      </c>
      <c r="AY27">
        <v>1256.63706143591</v>
      </c>
      <c r="AZ27">
        <v>125663.706143591</v>
      </c>
      <c r="BA27">
        <v>4.7746000000000004E-3</v>
      </c>
      <c r="BB27">
        <v>2.3873000000000002E-3</v>
      </c>
      <c r="BC27">
        <v>1.5413E-3</v>
      </c>
      <c r="BD27">
        <v>-0.4568258</v>
      </c>
      <c r="BE27">
        <v>-0.45921319999999999</v>
      </c>
      <c r="BF27">
        <v>-0.4600592</v>
      </c>
    </row>
    <row r="28" spans="1:58">
      <c r="A28">
        <v>1774</v>
      </c>
      <c r="B28" t="s">
        <v>173</v>
      </c>
      <c r="C28" t="s">
        <v>86</v>
      </c>
      <c r="G28" s="23">
        <v>43668</v>
      </c>
      <c r="H28">
        <v>2</v>
      </c>
      <c r="I28">
        <v>1992</v>
      </c>
      <c r="J28">
        <v>8</v>
      </c>
      <c r="K28">
        <v>8</v>
      </c>
      <c r="L28">
        <v>8</v>
      </c>
      <c r="M28">
        <v>8</v>
      </c>
      <c r="N28">
        <v>0.79400000000000004</v>
      </c>
      <c r="O28">
        <v>0.79400000000000004</v>
      </c>
      <c r="P28">
        <v>0.79400000000000004</v>
      </c>
      <c r="Q28">
        <v>0.79400000000000004</v>
      </c>
      <c r="R28">
        <v>-122.9962463</v>
      </c>
      <c r="S28">
        <v>44.5101929</v>
      </c>
      <c r="T28">
        <v>8</v>
      </c>
      <c r="U28">
        <v>0.93235299999999999</v>
      </c>
      <c r="V28">
        <v>0.31870730000000003</v>
      </c>
      <c r="W28">
        <v>500298.28125</v>
      </c>
      <c r="X28">
        <v>4928541.5</v>
      </c>
      <c r="Y28">
        <v>1</v>
      </c>
      <c r="Z28">
        <v>0</v>
      </c>
      <c r="AA28">
        <v>5</v>
      </c>
      <c r="AB28">
        <v>0</v>
      </c>
      <c r="AC28">
        <v>0.5</v>
      </c>
      <c r="AD28">
        <v>1</v>
      </c>
      <c r="AE28">
        <v>4</v>
      </c>
      <c r="AF28">
        <v>0</v>
      </c>
      <c r="AG28">
        <v>0.40200000000000002</v>
      </c>
      <c r="AH28">
        <v>0</v>
      </c>
      <c r="AI28">
        <v>31.052177400000001</v>
      </c>
      <c r="AJ28">
        <v>1E-4</v>
      </c>
      <c r="AK28">
        <v>0</v>
      </c>
      <c r="AL28">
        <v>0.1512471</v>
      </c>
      <c r="AM28">
        <v>1</v>
      </c>
      <c r="AN28">
        <v>1</v>
      </c>
      <c r="AO28">
        <v>90</v>
      </c>
      <c r="AP28">
        <v>90</v>
      </c>
      <c r="AQ28">
        <v>1992</v>
      </c>
      <c r="AR28">
        <v>812</v>
      </c>
      <c r="AS28">
        <v>2025</v>
      </c>
      <c r="AT28" s="23">
        <v>45814</v>
      </c>
      <c r="AU28" s="23" t="s">
        <v>153</v>
      </c>
      <c r="AV28">
        <v>1</v>
      </c>
      <c r="AW28">
        <v>500298.28</v>
      </c>
      <c r="AX28">
        <v>4928541.5</v>
      </c>
      <c r="AY28">
        <v>1256.63706143591</v>
      </c>
      <c r="AZ28">
        <v>125663.706143591</v>
      </c>
      <c r="BA28">
        <v>0.19220690000000001</v>
      </c>
      <c r="BB28">
        <v>3.9788999999999996E-3</v>
      </c>
      <c r="BC28">
        <v>3.9064E-3</v>
      </c>
      <c r="BD28">
        <v>4.09599E-2</v>
      </c>
      <c r="BE28">
        <v>-0.14726819999999999</v>
      </c>
      <c r="BF28">
        <v>-0.14734069999999999</v>
      </c>
    </row>
    <row r="29" spans="1:58">
      <c r="A29">
        <v>2676</v>
      </c>
      <c r="B29" t="s">
        <v>174</v>
      </c>
      <c r="C29" t="s">
        <v>86</v>
      </c>
      <c r="D29" t="s">
        <v>137</v>
      </c>
      <c r="G29" s="23">
        <v>43668</v>
      </c>
      <c r="H29">
        <v>1</v>
      </c>
      <c r="I29">
        <v>2759</v>
      </c>
      <c r="J29">
        <v>6</v>
      </c>
      <c r="K29">
        <v>5</v>
      </c>
      <c r="L29">
        <v>5</v>
      </c>
      <c r="M29">
        <v>8</v>
      </c>
      <c r="N29">
        <v>0.59799999999999998</v>
      </c>
      <c r="O29">
        <v>0.5</v>
      </c>
      <c r="P29">
        <v>0.5</v>
      </c>
      <c r="Q29">
        <v>0.79400000000000004</v>
      </c>
      <c r="R29">
        <v>-122.77448269999999</v>
      </c>
      <c r="S29">
        <v>45.236339600000001</v>
      </c>
      <c r="T29">
        <v>6</v>
      </c>
      <c r="U29">
        <v>0.70176470000000002</v>
      </c>
      <c r="V29">
        <v>3.8788200000000002E-2</v>
      </c>
      <c r="W29">
        <v>517700.84375</v>
      </c>
      <c r="X29">
        <v>5009230</v>
      </c>
      <c r="Y29">
        <v>0</v>
      </c>
      <c r="AA29">
        <v>5</v>
      </c>
      <c r="AB29">
        <v>1.0153E-3</v>
      </c>
      <c r="AC29">
        <v>0.5</v>
      </c>
      <c r="AD29">
        <v>0</v>
      </c>
      <c r="AE29">
        <v>5</v>
      </c>
      <c r="AF29">
        <v>3.5184000000000001E-3</v>
      </c>
      <c r="AG29">
        <v>0.5</v>
      </c>
      <c r="AH29">
        <v>0</v>
      </c>
      <c r="AI29">
        <v>31.052177400000001</v>
      </c>
      <c r="AJ29">
        <v>4.9929099999999997E-2</v>
      </c>
      <c r="AK29">
        <v>0</v>
      </c>
      <c r="AL29">
        <v>1E-3</v>
      </c>
      <c r="AM29">
        <v>0</v>
      </c>
      <c r="AN29">
        <v>1</v>
      </c>
      <c r="AO29">
        <v>89</v>
      </c>
      <c r="AP29">
        <v>89</v>
      </c>
      <c r="AQ29">
        <v>2759</v>
      </c>
      <c r="AR29">
        <v>811</v>
      </c>
      <c r="AS29">
        <v>2025</v>
      </c>
      <c r="AT29" s="23">
        <v>45814</v>
      </c>
      <c r="AU29" s="23" t="s">
        <v>153</v>
      </c>
      <c r="AV29">
        <v>1</v>
      </c>
      <c r="AW29">
        <v>517700.84</v>
      </c>
      <c r="AX29">
        <v>5009230</v>
      </c>
      <c r="AY29">
        <v>1256.63706143591</v>
      </c>
      <c r="AZ29">
        <v>125663.706143591</v>
      </c>
      <c r="BA29">
        <v>4.5677000000000001E-3</v>
      </c>
      <c r="BB29">
        <v>7.9580000000000004E-4</v>
      </c>
      <c r="BC29">
        <v>7.9080000000000003E-4</v>
      </c>
      <c r="BD29">
        <v>3.5677E-3</v>
      </c>
      <c r="BE29">
        <v>-2.042E-4</v>
      </c>
      <c r="BF29">
        <v>-2.0919999999999999E-4</v>
      </c>
    </row>
    <row r="30" spans="1:58">
      <c r="A30">
        <v>3221</v>
      </c>
      <c r="B30" t="s">
        <v>175</v>
      </c>
      <c r="C30" t="s">
        <v>86</v>
      </c>
      <c r="G30" s="23">
        <v>43668</v>
      </c>
      <c r="H30">
        <v>1</v>
      </c>
      <c r="I30">
        <v>3171</v>
      </c>
      <c r="J30">
        <v>0</v>
      </c>
      <c r="K30">
        <v>0</v>
      </c>
      <c r="L30">
        <v>0</v>
      </c>
      <c r="M30">
        <v>0</v>
      </c>
      <c r="N30">
        <v>0.01</v>
      </c>
      <c r="O30">
        <v>0.01</v>
      </c>
      <c r="P30">
        <v>0.01</v>
      </c>
      <c r="Q30">
        <v>0.01</v>
      </c>
      <c r="R30">
        <v>-122.97838590000001</v>
      </c>
      <c r="S30">
        <v>45.573226900000002</v>
      </c>
      <c r="T30">
        <v>0</v>
      </c>
      <c r="U30">
        <v>0.01</v>
      </c>
      <c r="V30">
        <v>0</v>
      </c>
      <c r="W30">
        <v>501686.71875</v>
      </c>
      <c r="X30">
        <v>5046632</v>
      </c>
      <c r="Y30">
        <v>0</v>
      </c>
      <c r="AA30">
        <v>4</v>
      </c>
      <c r="AB30">
        <v>0</v>
      </c>
      <c r="AC30">
        <v>0.40200000000000002</v>
      </c>
      <c r="AD30">
        <v>0</v>
      </c>
      <c r="AE30">
        <v>5</v>
      </c>
      <c r="AF30">
        <v>1.6107999999999999E-3</v>
      </c>
      <c r="AG30">
        <v>0.5</v>
      </c>
      <c r="AH30">
        <v>0</v>
      </c>
      <c r="AI30">
        <v>31.052177400000001</v>
      </c>
      <c r="AJ30">
        <v>1E-4</v>
      </c>
      <c r="AK30">
        <v>0</v>
      </c>
      <c r="AL30">
        <v>0.28961419999999999</v>
      </c>
      <c r="AM30">
        <v>1</v>
      </c>
      <c r="AN30">
        <v>1</v>
      </c>
      <c r="AO30">
        <v>84</v>
      </c>
      <c r="AP30">
        <v>84</v>
      </c>
      <c r="AQ30">
        <v>3171</v>
      </c>
      <c r="AR30">
        <v>806</v>
      </c>
      <c r="AS30">
        <v>2025</v>
      </c>
      <c r="AT30" s="23">
        <v>45814</v>
      </c>
      <c r="AU30" s="23" t="s">
        <v>153</v>
      </c>
      <c r="AV30">
        <v>0</v>
      </c>
      <c r="AW30">
        <v>501686.71</v>
      </c>
      <c r="AX30">
        <v>5046632</v>
      </c>
      <c r="AY30">
        <v>1256.63706143591</v>
      </c>
      <c r="AZ30">
        <v>125663.706143591</v>
      </c>
      <c r="BA30">
        <v>0</v>
      </c>
      <c r="BB30">
        <v>0</v>
      </c>
      <c r="BC30">
        <v>7.9580000000000004E-4</v>
      </c>
      <c r="BD30">
        <v>-0.28961419999999999</v>
      </c>
      <c r="BE30">
        <v>-0.28961419999999999</v>
      </c>
      <c r="BF30">
        <v>-0.28881839999999998</v>
      </c>
    </row>
    <row r="31" spans="1:58">
      <c r="A31">
        <v>4796</v>
      </c>
      <c r="B31" t="s">
        <v>168</v>
      </c>
      <c r="C31" t="s">
        <v>98</v>
      </c>
      <c r="G31" s="23">
        <v>43668</v>
      </c>
      <c r="H31">
        <v>2</v>
      </c>
      <c r="I31">
        <v>4346</v>
      </c>
      <c r="J31">
        <v>5</v>
      </c>
      <c r="K31">
        <v>8</v>
      </c>
      <c r="L31">
        <v>8</v>
      </c>
      <c r="M31">
        <v>8</v>
      </c>
      <c r="N31">
        <v>0.5</v>
      </c>
      <c r="O31">
        <v>0.79400000000000004</v>
      </c>
      <c r="P31">
        <v>0.79400000000000004</v>
      </c>
      <c r="Q31">
        <v>0.79400000000000004</v>
      </c>
      <c r="R31">
        <v>-123.11037450000001</v>
      </c>
      <c r="S31">
        <v>44.480514499999998</v>
      </c>
      <c r="T31">
        <v>7.25</v>
      </c>
      <c r="U31">
        <v>0.84588240000000003</v>
      </c>
      <c r="V31">
        <v>1.6378799999999999E-2</v>
      </c>
      <c r="W31">
        <v>491222.53125</v>
      </c>
      <c r="X31">
        <v>4925250.5</v>
      </c>
      <c r="Y31">
        <v>0</v>
      </c>
      <c r="AA31">
        <v>2</v>
      </c>
      <c r="AB31">
        <v>0</v>
      </c>
      <c r="AC31">
        <v>0.20599999999999999</v>
      </c>
      <c r="AD31">
        <v>0</v>
      </c>
      <c r="AE31">
        <v>3</v>
      </c>
      <c r="AF31">
        <v>0</v>
      </c>
      <c r="AG31">
        <v>0.30399999999999999</v>
      </c>
      <c r="AH31">
        <v>0</v>
      </c>
      <c r="AI31">
        <v>31.052177400000001</v>
      </c>
      <c r="AJ31">
        <v>3.2590000000000001E-4</v>
      </c>
      <c r="AK31">
        <v>0</v>
      </c>
      <c r="AL31">
        <v>0.151418</v>
      </c>
      <c r="AM31">
        <v>1</v>
      </c>
      <c r="AN31">
        <v>1</v>
      </c>
      <c r="AO31">
        <v>91</v>
      </c>
      <c r="AP31">
        <v>91</v>
      </c>
      <c r="AQ31">
        <v>4346</v>
      </c>
      <c r="AR31">
        <v>813</v>
      </c>
      <c r="AS31">
        <v>2025</v>
      </c>
      <c r="AT31" s="23">
        <v>45814</v>
      </c>
      <c r="AU31" s="23" t="s">
        <v>153</v>
      </c>
      <c r="AV31">
        <v>0</v>
      </c>
      <c r="AW31">
        <v>491222.53</v>
      </c>
      <c r="AX31">
        <v>4925250.5</v>
      </c>
      <c r="AY31">
        <v>1256.63706143591</v>
      </c>
      <c r="AZ31">
        <v>125663.706143591</v>
      </c>
      <c r="BA31">
        <v>2.3873000000000002E-3</v>
      </c>
      <c r="BB31">
        <v>3.9788999999999996E-3</v>
      </c>
      <c r="BC31">
        <v>2.3873000000000002E-3</v>
      </c>
      <c r="BD31">
        <v>-0.14903060000000001</v>
      </c>
      <c r="BE31">
        <v>-0.14743909999999999</v>
      </c>
      <c r="BF31">
        <v>-0.14903060000000001</v>
      </c>
    </row>
    <row r="32" spans="1:58">
      <c r="A32">
        <v>5574</v>
      </c>
      <c r="B32" t="s">
        <v>176</v>
      </c>
      <c r="C32" t="s">
        <v>98</v>
      </c>
      <c r="G32" s="23">
        <v>43668</v>
      </c>
      <c r="H32">
        <v>2</v>
      </c>
      <c r="I32">
        <v>4963</v>
      </c>
      <c r="J32">
        <v>7</v>
      </c>
      <c r="K32">
        <v>8</v>
      </c>
      <c r="L32">
        <v>7</v>
      </c>
      <c r="M32">
        <v>8</v>
      </c>
      <c r="N32">
        <v>0.69599999999999995</v>
      </c>
      <c r="O32">
        <v>0.79400000000000004</v>
      </c>
      <c r="P32">
        <v>0.69599999999999995</v>
      </c>
      <c r="Q32">
        <v>0.79400000000000004</v>
      </c>
      <c r="R32">
        <v>-123.0326996</v>
      </c>
      <c r="S32">
        <v>44.555435199999998</v>
      </c>
      <c r="T32">
        <v>7.5</v>
      </c>
      <c r="U32">
        <v>0.87470590000000004</v>
      </c>
      <c r="V32">
        <v>0.33473069999999999</v>
      </c>
      <c r="W32">
        <v>497402.96875</v>
      </c>
      <c r="X32">
        <v>4933567.5</v>
      </c>
      <c r="Y32">
        <v>0</v>
      </c>
      <c r="AA32">
        <v>4</v>
      </c>
      <c r="AB32">
        <v>0</v>
      </c>
      <c r="AC32">
        <v>0.40200000000000002</v>
      </c>
      <c r="AD32">
        <v>0</v>
      </c>
      <c r="AE32">
        <v>4</v>
      </c>
      <c r="AF32">
        <v>0</v>
      </c>
      <c r="AG32">
        <v>0.40200000000000002</v>
      </c>
      <c r="AH32">
        <v>0</v>
      </c>
      <c r="AI32">
        <v>31.052177400000001</v>
      </c>
      <c r="AJ32">
        <v>1E-4</v>
      </c>
      <c r="AK32">
        <v>0</v>
      </c>
      <c r="AL32">
        <v>0.27889360000000002</v>
      </c>
      <c r="AM32">
        <v>1</v>
      </c>
      <c r="AN32">
        <v>1</v>
      </c>
      <c r="AO32">
        <v>87</v>
      </c>
      <c r="AP32">
        <v>87</v>
      </c>
      <c r="AQ32">
        <v>4963</v>
      </c>
      <c r="AR32">
        <v>809</v>
      </c>
      <c r="AS32">
        <v>2025</v>
      </c>
      <c r="AT32" s="23">
        <v>45814</v>
      </c>
      <c r="AU32" s="23" t="s">
        <v>153</v>
      </c>
      <c r="AV32">
        <v>0</v>
      </c>
      <c r="AW32">
        <v>497402.96</v>
      </c>
      <c r="AX32">
        <v>4933567.5</v>
      </c>
      <c r="AY32">
        <v>1256.63706143591</v>
      </c>
      <c r="AZ32">
        <v>125663.706143591</v>
      </c>
      <c r="BA32">
        <v>0</v>
      </c>
      <c r="BB32">
        <v>2.91393E-2</v>
      </c>
      <c r="BC32">
        <v>6.445E-4</v>
      </c>
      <c r="BD32">
        <v>-0.27889360000000002</v>
      </c>
      <c r="BE32">
        <v>-0.24975439999999999</v>
      </c>
      <c r="BF32">
        <v>-0.27824910000000003</v>
      </c>
    </row>
    <row r="33" spans="1:58">
      <c r="A33">
        <v>5576</v>
      </c>
      <c r="B33" t="s">
        <v>176</v>
      </c>
      <c r="C33" t="s">
        <v>98</v>
      </c>
      <c r="G33" s="23">
        <v>43668</v>
      </c>
      <c r="H33">
        <v>2</v>
      </c>
      <c r="I33">
        <v>4965</v>
      </c>
      <c r="J33">
        <v>5</v>
      </c>
      <c r="K33">
        <v>6</v>
      </c>
      <c r="L33">
        <v>7</v>
      </c>
      <c r="M33">
        <v>7</v>
      </c>
      <c r="N33">
        <v>0.5</v>
      </c>
      <c r="O33">
        <v>0.59799999999999998</v>
      </c>
      <c r="P33">
        <v>0.69599999999999995</v>
      </c>
      <c r="Q33">
        <v>0.69599999999999995</v>
      </c>
      <c r="R33">
        <v>-123.0163345</v>
      </c>
      <c r="S33">
        <v>44.555553400000001</v>
      </c>
      <c r="T33">
        <v>6.25</v>
      </c>
      <c r="U33">
        <v>0.73058829999999997</v>
      </c>
      <c r="V33">
        <v>0</v>
      </c>
      <c r="W33">
        <v>498702.59375</v>
      </c>
      <c r="X33">
        <v>4933580</v>
      </c>
      <c r="Y33">
        <v>0</v>
      </c>
      <c r="AA33">
        <v>4</v>
      </c>
      <c r="AB33">
        <v>0</v>
      </c>
      <c r="AC33">
        <v>0.40200000000000002</v>
      </c>
      <c r="AD33">
        <v>0</v>
      </c>
      <c r="AE33">
        <v>7</v>
      </c>
      <c r="AF33">
        <v>0.13911000000000001</v>
      </c>
      <c r="AG33">
        <v>0.69599999999999995</v>
      </c>
      <c r="AH33">
        <v>0</v>
      </c>
      <c r="AI33">
        <v>31.052177400000001</v>
      </c>
      <c r="AJ33">
        <v>1E-4</v>
      </c>
      <c r="AK33">
        <v>0</v>
      </c>
      <c r="AL33">
        <v>0.39854149999999999</v>
      </c>
      <c r="AM33">
        <v>1</v>
      </c>
      <c r="AN33">
        <v>1</v>
      </c>
      <c r="AO33">
        <v>88</v>
      </c>
      <c r="AP33">
        <v>88</v>
      </c>
      <c r="AQ33">
        <v>4965</v>
      </c>
      <c r="AR33">
        <v>810</v>
      </c>
      <c r="AS33">
        <v>2025</v>
      </c>
      <c r="AT33" s="23">
        <v>45814</v>
      </c>
      <c r="AU33" s="23" t="s">
        <v>153</v>
      </c>
      <c r="AV33">
        <v>0</v>
      </c>
      <c r="AW33">
        <v>498702.59</v>
      </c>
      <c r="AX33">
        <v>4933580</v>
      </c>
      <c r="AY33">
        <v>1256.63706143591</v>
      </c>
      <c r="AZ33">
        <v>125663.706143591</v>
      </c>
      <c r="BA33">
        <v>7.9580000000000004E-4</v>
      </c>
      <c r="BB33">
        <v>0.21135709999999999</v>
      </c>
      <c r="BC33">
        <v>0.18288470000000001</v>
      </c>
      <c r="BD33">
        <v>-0.39774569999999998</v>
      </c>
      <c r="BE33">
        <v>-0.1871844</v>
      </c>
      <c r="BF33">
        <v>-0.21565680000000001</v>
      </c>
    </row>
    <row r="34" spans="1:58">
      <c r="A34">
        <v>6507</v>
      </c>
      <c r="B34" t="s">
        <v>164</v>
      </c>
      <c r="C34" t="s">
        <v>131</v>
      </c>
      <c r="G34" s="23">
        <v>43668</v>
      </c>
      <c r="H34">
        <v>2</v>
      </c>
      <c r="I34">
        <v>5588</v>
      </c>
      <c r="J34">
        <v>8</v>
      </c>
      <c r="K34">
        <v>8</v>
      </c>
      <c r="L34">
        <v>8</v>
      </c>
      <c r="M34">
        <v>8</v>
      </c>
      <c r="N34">
        <v>0.79400000000000004</v>
      </c>
      <c r="O34">
        <v>0.79400000000000004</v>
      </c>
      <c r="P34">
        <v>0.79400000000000004</v>
      </c>
      <c r="Q34">
        <v>0.79400000000000004</v>
      </c>
      <c r="R34">
        <v>-123.0508957</v>
      </c>
      <c r="S34">
        <v>44.576015499999997</v>
      </c>
      <c r="T34">
        <v>8</v>
      </c>
      <c r="U34">
        <v>0.93235299999999999</v>
      </c>
      <c r="V34">
        <v>0.4537292</v>
      </c>
      <c r="W34">
        <v>495959.25</v>
      </c>
      <c r="X34">
        <v>4935854</v>
      </c>
      <c r="Y34">
        <v>0</v>
      </c>
      <c r="AA34">
        <v>3</v>
      </c>
      <c r="AB34">
        <v>0</v>
      </c>
      <c r="AC34">
        <v>0.30399999999999999</v>
      </c>
      <c r="AD34">
        <v>0</v>
      </c>
      <c r="AE34">
        <v>4</v>
      </c>
      <c r="AF34">
        <v>0</v>
      </c>
      <c r="AG34">
        <v>0.40200000000000002</v>
      </c>
      <c r="AH34">
        <v>0</v>
      </c>
      <c r="AI34">
        <v>31.052177400000001</v>
      </c>
      <c r="AJ34">
        <v>1E-4</v>
      </c>
      <c r="AK34">
        <v>0</v>
      </c>
      <c r="AL34">
        <v>0.20705750000000001</v>
      </c>
      <c r="AM34">
        <v>1</v>
      </c>
      <c r="AN34">
        <v>1</v>
      </c>
      <c r="AO34">
        <v>86</v>
      </c>
      <c r="AP34">
        <v>86</v>
      </c>
      <c r="AQ34">
        <v>5588</v>
      </c>
      <c r="AR34">
        <v>808</v>
      </c>
      <c r="AS34">
        <v>2025</v>
      </c>
      <c r="AT34" s="23">
        <v>45814</v>
      </c>
      <c r="AU34" s="23" t="s">
        <v>153</v>
      </c>
      <c r="AV34">
        <v>0</v>
      </c>
      <c r="AW34">
        <v>495959.25</v>
      </c>
      <c r="AX34">
        <v>4935854</v>
      </c>
      <c r="AY34">
        <v>1256.63706143591</v>
      </c>
      <c r="AZ34">
        <v>125663.706143591</v>
      </c>
      <c r="BA34">
        <v>0.25246600000000002</v>
      </c>
      <c r="BB34">
        <v>0.29168650000000002</v>
      </c>
      <c r="BC34">
        <v>0.33209149999999998</v>
      </c>
      <c r="BD34">
        <v>4.5408499999999997E-2</v>
      </c>
      <c r="BE34">
        <v>8.4628999999999996E-2</v>
      </c>
      <c r="BF34">
        <v>0.12503400000000001</v>
      </c>
    </row>
    <row r="37" spans="1:58">
      <c r="BB37" s="3" t="s">
        <v>21</v>
      </c>
    </row>
    <row r="38" spans="1:58">
      <c r="BA38" t="s">
        <v>12</v>
      </c>
      <c r="BB38">
        <f>COUNTIF(BE2:BE34,"&lt;0")</f>
        <v>25</v>
      </c>
    </row>
    <row r="39" spans="1:58">
      <c r="BA39" t="s">
        <v>13</v>
      </c>
      <c r="BB39">
        <f>COUNTIF(BE2:BE34,"&gt;0")</f>
        <v>8</v>
      </c>
    </row>
    <row r="40" spans="1:58">
      <c r="BA40" t="s">
        <v>23</v>
      </c>
      <c r="BB40">
        <f>COUNTA(_xlfn.UNIQUE(I2:I34))</f>
        <v>33</v>
      </c>
    </row>
    <row r="42" spans="1:58">
      <c r="BA42" t="s">
        <v>14</v>
      </c>
      <c r="BB42">
        <f>SUMIF(AV2:AV34,"&gt;0")</f>
        <v>18</v>
      </c>
    </row>
    <row r="43" spans="1:58">
      <c r="BA43" t="s">
        <v>15</v>
      </c>
      <c r="BB43">
        <f>COUNTIF(AV2:AV34,"&gt;0")</f>
        <v>10</v>
      </c>
    </row>
    <row r="44" spans="1:58" ht="29">
      <c r="BA44" s="1" t="s">
        <v>16</v>
      </c>
      <c r="BB44" s="2">
        <f>AVERAGEIF(AV2:AV34,"&gt;0",BB2:BB34)</f>
        <v>7.1929430000000003E-2</v>
      </c>
    </row>
    <row r="45" spans="1:58">
      <c r="BA45" t="s">
        <v>17</v>
      </c>
      <c r="BB45" s="2">
        <f>MIN(BB2:BB34)</f>
        <v>0</v>
      </c>
    </row>
    <row r="46" spans="1:58">
      <c r="BA46" t="s">
        <v>18</v>
      </c>
      <c r="BB46" s="2">
        <f>MAX(BB2:BB34)</f>
        <v>0.49061379999999999</v>
      </c>
    </row>
    <row r="47" spans="1:58">
      <c r="BA47" t="s">
        <v>19</v>
      </c>
      <c r="BB47" s="2">
        <f>MEDIAN(BB2:BB34)</f>
        <v>5.5703999999999997E-3</v>
      </c>
    </row>
  </sheetData>
  <autoFilter ref="A1:BF1" xr:uid="{6677F233-D657-4D92-84B6-40417C5098F5}"/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519D5-6B29-40ED-9AEC-024FEF2EED9F}">
  <dimension ref="A1:BF40"/>
  <sheetViews>
    <sheetView topLeftCell="AR1" workbookViewId="0">
      <pane ySplit="1" topLeftCell="A19" activePane="bottomLeft" state="frozen"/>
      <selection activeCell="AR1" sqref="AR1"/>
      <selection pane="bottomLeft" activeCell="BB31" sqref="BB31:BB40"/>
    </sheetView>
  </sheetViews>
  <sheetFormatPr defaultRowHeight="14.5"/>
  <cols>
    <col min="53" max="53" width="25.6328125" bestFit="1" customWidth="1"/>
    <col min="54" max="55" width="25.7265625" bestFit="1" customWidth="1"/>
    <col min="56" max="56" width="29.453125" bestFit="1" customWidth="1"/>
    <col min="57" max="58" width="29.81640625" bestFit="1" customWidth="1"/>
  </cols>
  <sheetData>
    <row r="1" spans="1:58">
      <c r="A1" t="s">
        <v>7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0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</v>
      </c>
      <c r="X1" t="s">
        <v>6</v>
      </c>
      <c r="Y1" t="s">
        <v>55</v>
      </c>
      <c r="Z1" t="s">
        <v>56</v>
      </c>
      <c r="AA1" t="s">
        <v>57</v>
      </c>
      <c r="AB1" t="s">
        <v>58</v>
      </c>
      <c r="AC1" t="s">
        <v>59</v>
      </c>
      <c r="AD1" t="s">
        <v>60</v>
      </c>
      <c r="AE1" t="s">
        <v>61</v>
      </c>
      <c r="AF1" t="s">
        <v>62</v>
      </c>
      <c r="AG1" t="s">
        <v>63</v>
      </c>
      <c r="AH1" t="s">
        <v>64</v>
      </c>
      <c r="AI1" t="s">
        <v>65</v>
      </c>
      <c r="AJ1" t="s">
        <v>66</v>
      </c>
      <c r="AK1" t="s">
        <v>67</v>
      </c>
      <c r="AL1" t="s">
        <v>68</v>
      </c>
      <c r="AM1" t="s">
        <v>69</v>
      </c>
      <c r="AN1" t="s">
        <v>70</v>
      </c>
      <c r="AO1" t="s">
        <v>71</v>
      </c>
      <c r="AP1" t="s">
        <v>72</v>
      </c>
      <c r="AQ1" t="s">
        <v>8</v>
      </c>
      <c r="AR1" t="s">
        <v>1</v>
      </c>
      <c r="AS1" t="s">
        <v>2</v>
      </c>
      <c r="AT1" t="s">
        <v>3</v>
      </c>
      <c r="AU1" t="s">
        <v>193</v>
      </c>
      <c r="AV1" t="s">
        <v>4</v>
      </c>
      <c r="AW1" t="s">
        <v>73</v>
      </c>
      <c r="AX1" t="s">
        <v>74</v>
      </c>
      <c r="AY1" t="s">
        <v>9</v>
      </c>
      <c r="AZ1" t="s">
        <v>10</v>
      </c>
      <c r="BA1" t="s">
        <v>75</v>
      </c>
      <c r="BB1" t="s">
        <v>76</v>
      </c>
      <c r="BC1" t="s">
        <v>77</v>
      </c>
      <c r="BD1" t="s">
        <v>78</v>
      </c>
      <c r="BE1" t="s">
        <v>79</v>
      </c>
      <c r="BF1" t="s">
        <v>80</v>
      </c>
    </row>
    <row r="2" spans="1:58">
      <c r="A2">
        <v>323</v>
      </c>
      <c r="B2" t="s">
        <v>177</v>
      </c>
      <c r="C2" t="s">
        <v>86</v>
      </c>
      <c r="G2" s="23">
        <v>43668</v>
      </c>
      <c r="H2">
        <v>2</v>
      </c>
      <c r="I2">
        <v>801</v>
      </c>
      <c r="J2">
        <v>5</v>
      </c>
      <c r="K2">
        <v>7</v>
      </c>
      <c r="L2">
        <v>6</v>
      </c>
      <c r="M2">
        <v>8</v>
      </c>
      <c r="N2">
        <v>0.5</v>
      </c>
      <c r="O2">
        <v>0.69599999999999995</v>
      </c>
      <c r="P2">
        <v>0.59799999999999998</v>
      </c>
      <c r="Q2">
        <v>0.79400000000000004</v>
      </c>
      <c r="R2">
        <v>-123.0955429</v>
      </c>
      <c r="S2">
        <v>44.504424999999998</v>
      </c>
      <c r="T2">
        <v>6.5</v>
      </c>
      <c r="U2">
        <v>0.75941179999999997</v>
      </c>
      <c r="V2">
        <v>0.25641799999999998</v>
      </c>
      <c r="W2">
        <v>492404.84375</v>
      </c>
      <c r="X2">
        <v>4927905</v>
      </c>
      <c r="Y2">
        <v>1</v>
      </c>
      <c r="Z2">
        <v>0</v>
      </c>
      <c r="AA2">
        <v>5</v>
      </c>
      <c r="AB2">
        <v>1.6509000000000001E-3</v>
      </c>
      <c r="AC2">
        <v>0.5</v>
      </c>
      <c r="AD2">
        <v>1</v>
      </c>
      <c r="AE2">
        <v>4</v>
      </c>
      <c r="AF2">
        <v>0</v>
      </c>
      <c r="AG2">
        <v>0.40200000000000002</v>
      </c>
      <c r="AH2">
        <v>0</v>
      </c>
      <c r="AI2">
        <v>31.052177400000001</v>
      </c>
      <c r="AJ2">
        <v>1E-4</v>
      </c>
      <c r="AK2">
        <v>0</v>
      </c>
      <c r="AL2">
        <v>3.2465599999999997E-2</v>
      </c>
      <c r="AM2">
        <v>1</v>
      </c>
      <c r="AN2">
        <v>1</v>
      </c>
      <c r="AO2">
        <v>60</v>
      </c>
      <c r="AP2">
        <v>60</v>
      </c>
      <c r="AQ2">
        <v>801</v>
      </c>
      <c r="AR2">
        <v>782</v>
      </c>
      <c r="AS2">
        <v>2025</v>
      </c>
      <c r="AT2" s="23">
        <v>45818</v>
      </c>
      <c r="AU2" s="23" t="s">
        <v>178</v>
      </c>
      <c r="AV2">
        <v>0</v>
      </c>
      <c r="AW2">
        <v>492404.84</v>
      </c>
      <c r="AX2">
        <v>4927905</v>
      </c>
      <c r="AY2">
        <v>1256.63706143591</v>
      </c>
      <c r="AZ2">
        <v>125663.706143591</v>
      </c>
      <c r="BA2">
        <v>6.02532E-2</v>
      </c>
      <c r="BB2">
        <v>7.9580000000000004E-4</v>
      </c>
      <c r="BC2">
        <v>0.1040336</v>
      </c>
      <c r="BD2">
        <v>2.7787599999999999E-2</v>
      </c>
      <c r="BE2">
        <v>-3.1669900000000001E-2</v>
      </c>
      <c r="BF2">
        <v>7.1568000000000007E-2</v>
      </c>
    </row>
    <row r="3" spans="1:58">
      <c r="A3">
        <v>1363</v>
      </c>
      <c r="B3" t="s">
        <v>179</v>
      </c>
      <c r="C3" t="s">
        <v>146</v>
      </c>
      <c r="G3" s="23">
        <v>43668</v>
      </c>
      <c r="H3">
        <v>2</v>
      </c>
      <c r="I3">
        <v>1666</v>
      </c>
      <c r="J3">
        <v>7</v>
      </c>
      <c r="K3">
        <v>6</v>
      </c>
      <c r="L3">
        <v>6</v>
      </c>
      <c r="M3">
        <v>8</v>
      </c>
      <c r="N3">
        <v>0.69599999999999995</v>
      </c>
      <c r="O3">
        <v>0.59799999999999998</v>
      </c>
      <c r="P3">
        <v>0.59799999999999998</v>
      </c>
      <c r="Q3">
        <v>0.79400000000000004</v>
      </c>
      <c r="R3">
        <v>-122.94641110000001</v>
      </c>
      <c r="S3">
        <v>44.536373099999999</v>
      </c>
      <c r="T3">
        <v>6.75</v>
      </c>
      <c r="U3">
        <v>0.78823529999999997</v>
      </c>
      <c r="V3">
        <v>1.22834E-2</v>
      </c>
      <c r="W3">
        <v>504257.6875</v>
      </c>
      <c r="X3">
        <v>4931451</v>
      </c>
      <c r="Y3">
        <v>0</v>
      </c>
      <c r="AA3">
        <v>4</v>
      </c>
      <c r="AB3">
        <v>0</v>
      </c>
      <c r="AC3">
        <v>0.40200000000000002</v>
      </c>
      <c r="AD3">
        <v>0</v>
      </c>
      <c r="AE3">
        <v>5</v>
      </c>
      <c r="AF3">
        <v>0</v>
      </c>
      <c r="AG3">
        <v>0.5</v>
      </c>
      <c r="AH3">
        <v>0</v>
      </c>
      <c r="AI3">
        <v>31.052177400000001</v>
      </c>
      <c r="AJ3">
        <v>1E-4</v>
      </c>
      <c r="AK3">
        <v>0</v>
      </c>
      <c r="AL3">
        <v>5.0573899999999998E-2</v>
      </c>
      <c r="AM3">
        <v>1</v>
      </c>
      <c r="AN3">
        <v>1</v>
      </c>
      <c r="AO3">
        <v>64</v>
      </c>
      <c r="AP3">
        <v>64</v>
      </c>
      <c r="AQ3">
        <v>1666</v>
      </c>
      <c r="AR3">
        <v>786</v>
      </c>
      <c r="AS3">
        <v>2025</v>
      </c>
      <c r="AT3" s="23">
        <v>45818</v>
      </c>
      <c r="AU3" s="23" t="s">
        <v>178</v>
      </c>
      <c r="AV3">
        <v>0</v>
      </c>
      <c r="AW3">
        <v>504257.679999999</v>
      </c>
      <c r="AX3">
        <v>4931451</v>
      </c>
      <c r="AY3">
        <v>1256.63706143591</v>
      </c>
      <c r="AZ3">
        <v>125663.706143591</v>
      </c>
      <c r="BA3">
        <v>7.4100000000000001E-4</v>
      </c>
      <c r="BB3">
        <v>8.4463999999999997E-3</v>
      </c>
      <c r="BC3">
        <v>7.8779999999999996E-4</v>
      </c>
      <c r="BD3">
        <v>-4.9832899999999999E-2</v>
      </c>
      <c r="BE3">
        <v>-4.2127499999999998E-2</v>
      </c>
      <c r="BF3">
        <v>-4.97861E-2</v>
      </c>
    </row>
    <row r="4" spans="1:58">
      <c r="A4">
        <v>1745</v>
      </c>
      <c r="B4" t="s">
        <v>180</v>
      </c>
      <c r="C4" t="s">
        <v>146</v>
      </c>
      <c r="G4" s="23">
        <v>43668</v>
      </c>
      <c r="H4">
        <v>2</v>
      </c>
      <c r="I4">
        <v>1967</v>
      </c>
      <c r="J4">
        <v>6</v>
      </c>
      <c r="K4">
        <v>8</v>
      </c>
      <c r="L4">
        <v>8</v>
      </c>
      <c r="M4">
        <v>8</v>
      </c>
      <c r="N4">
        <v>0.59799999999999998</v>
      </c>
      <c r="O4">
        <v>0.79400000000000004</v>
      </c>
      <c r="P4">
        <v>0.79400000000000004</v>
      </c>
      <c r="Q4">
        <v>0.79400000000000004</v>
      </c>
      <c r="R4">
        <v>-123.2334213</v>
      </c>
      <c r="S4">
        <v>44.5702286</v>
      </c>
      <c r="T4">
        <v>7.5</v>
      </c>
      <c r="U4">
        <v>0.87470590000000004</v>
      </c>
      <c r="V4">
        <v>0.38142169999999997</v>
      </c>
      <c r="W4">
        <v>481465.78125</v>
      </c>
      <c r="X4">
        <v>4935236.5</v>
      </c>
      <c r="Y4">
        <v>0</v>
      </c>
      <c r="AA4">
        <v>5</v>
      </c>
      <c r="AB4">
        <v>2.4678E-3</v>
      </c>
      <c r="AC4">
        <v>0.5</v>
      </c>
      <c r="AD4">
        <v>0</v>
      </c>
      <c r="AE4">
        <v>5</v>
      </c>
      <c r="AF4">
        <v>1.0855000000000001E-3</v>
      </c>
      <c r="AG4">
        <v>0.5</v>
      </c>
      <c r="AH4">
        <v>0</v>
      </c>
      <c r="AI4">
        <v>31.052177400000001</v>
      </c>
      <c r="AJ4">
        <v>0.13822329999999999</v>
      </c>
      <c r="AK4">
        <v>1</v>
      </c>
      <c r="AL4">
        <v>5.5331900000000003E-2</v>
      </c>
      <c r="AM4">
        <v>1</v>
      </c>
      <c r="AN4">
        <v>1</v>
      </c>
      <c r="AO4">
        <v>57</v>
      </c>
      <c r="AP4">
        <v>57</v>
      </c>
      <c r="AQ4">
        <v>1967</v>
      </c>
      <c r="AR4">
        <v>779</v>
      </c>
      <c r="AS4">
        <v>2025</v>
      </c>
      <c r="AT4" s="23">
        <v>45818</v>
      </c>
      <c r="AU4" s="23" t="s">
        <v>178</v>
      </c>
      <c r="AV4">
        <v>0</v>
      </c>
      <c r="AW4">
        <v>481465.78</v>
      </c>
      <c r="AX4">
        <v>4935236.5</v>
      </c>
      <c r="AY4">
        <v>1256.63706143591</v>
      </c>
      <c r="AZ4">
        <v>125663.706143591</v>
      </c>
      <c r="BA4">
        <v>8.5246600000000006E-2</v>
      </c>
      <c r="BB4">
        <v>5.5703999999999997E-3</v>
      </c>
      <c r="BC4">
        <v>1.5592399999999999E-2</v>
      </c>
      <c r="BD4">
        <v>2.9914699999999999E-2</v>
      </c>
      <c r="BE4">
        <v>-4.9761399999999997E-2</v>
      </c>
      <c r="BF4">
        <v>-3.9739400000000001E-2</v>
      </c>
    </row>
    <row r="5" spans="1:58">
      <c r="A5">
        <v>2354</v>
      </c>
      <c r="B5" t="s">
        <v>143</v>
      </c>
      <c r="C5" t="s">
        <v>119</v>
      </c>
      <c r="G5" s="23">
        <v>43668</v>
      </c>
      <c r="H5">
        <v>2</v>
      </c>
      <c r="I5">
        <v>2489</v>
      </c>
      <c r="J5">
        <v>8</v>
      </c>
      <c r="K5">
        <v>7</v>
      </c>
      <c r="L5">
        <v>7</v>
      </c>
      <c r="M5">
        <v>8</v>
      </c>
      <c r="N5">
        <v>0.79400000000000004</v>
      </c>
      <c r="O5">
        <v>0.69599999999999995</v>
      </c>
      <c r="P5">
        <v>0.69599999999999995</v>
      </c>
      <c r="Q5">
        <v>0.79400000000000004</v>
      </c>
      <c r="R5">
        <v>-123.0941086</v>
      </c>
      <c r="S5">
        <v>44.528121900000002</v>
      </c>
      <c r="T5">
        <v>7.5</v>
      </c>
      <c r="U5">
        <v>0.87470590000000004</v>
      </c>
      <c r="V5">
        <v>7.3937900000000001E-2</v>
      </c>
      <c r="W5">
        <v>492522.25</v>
      </c>
      <c r="X5">
        <v>4930537.5</v>
      </c>
      <c r="Y5">
        <v>0</v>
      </c>
      <c r="AA5">
        <v>5</v>
      </c>
      <c r="AB5">
        <v>0</v>
      </c>
      <c r="AC5">
        <v>0.5</v>
      </c>
      <c r="AD5">
        <v>0</v>
      </c>
      <c r="AE5">
        <v>5</v>
      </c>
      <c r="AF5">
        <v>0</v>
      </c>
      <c r="AG5">
        <v>0.5</v>
      </c>
      <c r="AH5">
        <v>0</v>
      </c>
      <c r="AI5">
        <v>31.052177400000001</v>
      </c>
      <c r="AJ5">
        <v>0.11264390000000001</v>
      </c>
      <c r="AK5">
        <v>1</v>
      </c>
      <c r="AL5">
        <v>0.1227425</v>
      </c>
      <c r="AM5">
        <v>1</v>
      </c>
      <c r="AN5">
        <v>1</v>
      </c>
      <c r="AO5">
        <v>61</v>
      </c>
      <c r="AP5">
        <v>61</v>
      </c>
      <c r="AQ5">
        <v>2489</v>
      </c>
      <c r="AR5">
        <v>783</v>
      </c>
      <c r="AS5">
        <v>2025</v>
      </c>
      <c r="AT5" s="23">
        <v>45818</v>
      </c>
      <c r="AU5" s="23" t="s">
        <v>178</v>
      </c>
      <c r="AV5">
        <v>0</v>
      </c>
      <c r="AW5">
        <v>492522.25</v>
      </c>
      <c r="AX5">
        <v>4930537.5</v>
      </c>
      <c r="AY5">
        <v>1256.63706143591</v>
      </c>
      <c r="AZ5">
        <v>125663.706143591</v>
      </c>
      <c r="BA5">
        <v>0.19137009999999999</v>
      </c>
      <c r="BB5">
        <v>6.1550000000000005E-4</v>
      </c>
      <c r="BC5">
        <v>0.23067380000000001</v>
      </c>
      <c r="BD5">
        <v>6.8627599999999997E-2</v>
      </c>
      <c r="BE5">
        <v>-0.122127</v>
      </c>
      <c r="BF5">
        <v>0.10793129999999999</v>
      </c>
    </row>
    <row r="6" spans="1:58">
      <c r="A6">
        <v>2484</v>
      </c>
      <c r="B6" t="s">
        <v>181</v>
      </c>
      <c r="C6" t="s">
        <v>86</v>
      </c>
      <c r="G6" s="23">
        <v>43668</v>
      </c>
      <c r="H6">
        <v>2</v>
      </c>
      <c r="I6">
        <v>2600</v>
      </c>
      <c r="J6">
        <v>8</v>
      </c>
      <c r="K6">
        <v>8</v>
      </c>
      <c r="L6">
        <v>5</v>
      </c>
      <c r="M6">
        <v>8</v>
      </c>
      <c r="N6">
        <v>0.79400000000000004</v>
      </c>
      <c r="O6">
        <v>0.79400000000000004</v>
      </c>
      <c r="P6">
        <v>0.5</v>
      </c>
      <c r="Q6">
        <v>0.79400000000000004</v>
      </c>
      <c r="R6">
        <v>-123.1707382</v>
      </c>
      <c r="S6">
        <v>44.539150200000002</v>
      </c>
      <c r="T6">
        <v>7.25</v>
      </c>
      <c r="U6">
        <v>0.84588240000000003</v>
      </c>
      <c r="V6">
        <v>2.6902499999999999E-2</v>
      </c>
      <c r="W6">
        <v>486435.625</v>
      </c>
      <c r="X6">
        <v>4931772</v>
      </c>
      <c r="Y6">
        <v>0</v>
      </c>
      <c r="AA6">
        <v>4</v>
      </c>
      <c r="AB6">
        <v>0</v>
      </c>
      <c r="AC6">
        <v>0.40200000000000002</v>
      </c>
      <c r="AD6">
        <v>0</v>
      </c>
      <c r="AE6">
        <v>3</v>
      </c>
      <c r="AF6">
        <v>0</v>
      </c>
      <c r="AG6">
        <v>0.30399999999999999</v>
      </c>
      <c r="AH6">
        <v>0</v>
      </c>
      <c r="AI6">
        <v>31.052177400000001</v>
      </c>
      <c r="AJ6">
        <v>1E-4</v>
      </c>
      <c r="AK6">
        <v>0</v>
      </c>
      <c r="AL6">
        <v>9.4669199999999995E-2</v>
      </c>
      <c r="AM6">
        <v>1</v>
      </c>
      <c r="AN6">
        <v>1</v>
      </c>
      <c r="AO6">
        <v>59</v>
      </c>
      <c r="AP6">
        <v>59</v>
      </c>
      <c r="AQ6">
        <v>2600</v>
      </c>
      <c r="AR6">
        <v>781</v>
      </c>
      <c r="AS6">
        <v>2025</v>
      </c>
      <c r="AT6" s="23">
        <v>45818</v>
      </c>
      <c r="AU6" s="23" t="s">
        <v>178</v>
      </c>
      <c r="AV6">
        <v>0</v>
      </c>
      <c r="AW6">
        <v>486435.61999999901</v>
      </c>
      <c r="AX6">
        <v>4931772</v>
      </c>
      <c r="AY6">
        <v>1256.63706143591</v>
      </c>
      <c r="AZ6">
        <v>125663.706143591</v>
      </c>
      <c r="BA6">
        <v>2.13694E-2</v>
      </c>
      <c r="BB6">
        <v>7.9580000000000004E-4</v>
      </c>
      <c r="BC6">
        <v>1.0345099999999999E-2</v>
      </c>
      <c r="BD6">
        <v>-7.3299900000000001E-2</v>
      </c>
      <c r="BE6">
        <v>-9.3873399999999996E-2</v>
      </c>
      <c r="BF6">
        <v>-8.4324099999999999E-2</v>
      </c>
    </row>
    <row r="7" spans="1:58">
      <c r="A7">
        <v>2485</v>
      </c>
      <c r="B7" t="s">
        <v>181</v>
      </c>
      <c r="C7" t="s">
        <v>86</v>
      </c>
      <c r="G7" s="23">
        <v>43668</v>
      </c>
      <c r="H7">
        <v>2</v>
      </c>
      <c r="I7">
        <v>2601</v>
      </c>
      <c r="J7">
        <v>6</v>
      </c>
      <c r="K7">
        <v>7</v>
      </c>
      <c r="L7">
        <v>5</v>
      </c>
      <c r="M7">
        <v>8</v>
      </c>
      <c r="N7">
        <v>0.59799999999999998</v>
      </c>
      <c r="O7">
        <v>0.69599999999999995</v>
      </c>
      <c r="P7">
        <v>0.5</v>
      </c>
      <c r="Q7">
        <v>0.79400000000000004</v>
      </c>
      <c r="R7">
        <v>-123.1698608</v>
      </c>
      <c r="S7">
        <v>44.5448837</v>
      </c>
      <c r="T7">
        <v>6.5</v>
      </c>
      <c r="U7">
        <v>0.75941179999999997</v>
      </c>
      <c r="V7">
        <v>6.4906199999999997E-2</v>
      </c>
      <c r="W7">
        <v>486506.90625</v>
      </c>
      <c r="X7">
        <v>4932409</v>
      </c>
      <c r="Y7">
        <v>0</v>
      </c>
      <c r="AA7">
        <v>6</v>
      </c>
      <c r="AB7">
        <v>1.3365500000000001E-2</v>
      </c>
      <c r="AC7">
        <v>0.59799999999999998</v>
      </c>
      <c r="AD7">
        <v>0</v>
      </c>
      <c r="AE7">
        <v>6</v>
      </c>
      <c r="AF7">
        <v>6.8120999999999998E-3</v>
      </c>
      <c r="AG7">
        <v>0.59799999999999998</v>
      </c>
      <c r="AH7">
        <v>0</v>
      </c>
      <c r="AI7">
        <v>31.052177400000001</v>
      </c>
      <c r="AJ7">
        <v>1E-4</v>
      </c>
      <c r="AK7">
        <v>0</v>
      </c>
      <c r="AL7">
        <v>5.9245199999999998E-2</v>
      </c>
      <c r="AM7">
        <v>1</v>
      </c>
      <c r="AN7">
        <v>1</v>
      </c>
      <c r="AO7">
        <v>58</v>
      </c>
      <c r="AP7">
        <v>58</v>
      </c>
      <c r="AQ7">
        <v>2601</v>
      </c>
      <c r="AR7">
        <v>780</v>
      </c>
      <c r="AS7">
        <v>2025</v>
      </c>
      <c r="AT7" s="23">
        <v>45818</v>
      </c>
      <c r="AU7" s="23" t="s">
        <v>178</v>
      </c>
      <c r="AV7">
        <v>0</v>
      </c>
      <c r="AW7">
        <v>486506.9</v>
      </c>
      <c r="AX7">
        <v>4932409</v>
      </c>
      <c r="AY7">
        <v>1256.63706143591</v>
      </c>
      <c r="AZ7">
        <v>125663.706143591</v>
      </c>
      <c r="BA7">
        <v>4.0702599999999999E-2</v>
      </c>
      <c r="BB7">
        <v>7.9580000000000004E-4</v>
      </c>
      <c r="BC7">
        <v>7.9580000000000004E-4</v>
      </c>
      <c r="BD7">
        <v>-1.8542599999999999E-2</v>
      </c>
      <c r="BE7">
        <v>-5.8449399999999999E-2</v>
      </c>
      <c r="BF7">
        <v>-5.8449399999999999E-2</v>
      </c>
    </row>
    <row r="8" spans="1:58">
      <c r="A8">
        <v>2999</v>
      </c>
      <c r="B8" t="s">
        <v>164</v>
      </c>
      <c r="C8" t="s">
        <v>131</v>
      </c>
      <c r="G8" s="23">
        <v>43668</v>
      </c>
      <c r="H8">
        <v>2</v>
      </c>
      <c r="I8">
        <v>3004</v>
      </c>
      <c r="J8">
        <v>5</v>
      </c>
      <c r="K8">
        <v>6</v>
      </c>
      <c r="L8">
        <v>6</v>
      </c>
      <c r="M8">
        <v>6</v>
      </c>
      <c r="N8">
        <v>0.5</v>
      </c>
      <c r="O8">
        <v>0.59799999999999998</v>
      </c>
      <c r="P8">
        <v>0.59799999999999998</v>
      </c>
      <c r="Q8">
        <v>0.59799999999999998</v>
      </c>
      <c r="R8">
        <v>-123.0489426</v>
      </c>
      <c r="S8">
        <v>44.5310822</v>
      </c>
      <c r="T8">
        <v>5.75</v>
      </c>
      <c r="U8">
        <v>0.67294109999999996</v>
      </c>
      <c r="V8">
        <v>0</v>
      </c>
      <c r="W8">
        <v>496111.21875</v>
      </c>
      <c r="X8">
        <v>4930863</v>
      </c>
      <c r="Y8">
        <v>0</v>
      </c>
      <c r="AA8">
        <v>8</v>
      </c>
      <c r="AB8">
        <v>0.27951609999999999</v>
      </c>
      <c r="AC8">
        <v>0.79400000000000004</v>
      </c>
      <c r="AD8">
        <v>0</v>
      </c>
      <c r="AE8">
        <v>4</v>
      </c>
      <c r="AF8">
        <v>0</v>
      </c>
      <c r="AG8">
        <v>0.40200000000000002</v>
      </c>
      <c r="AH8">
        <v>0</v>
      </c>
      <c r="AI8">
        <v>31.052177400000001</v>
      </c>
      <c r="AJ8">
        <v>1E-4</v>
      </c>
      <c r="AK8">
        <v>0</v>
      </c>
      <c r="AL8">
        <v>0.13677220000000001</v>
      </c>
      <c r="AM8">
        <v>1</v>
      </c>
      <c r="AN8">
        <v>1</v>
      </c>
      <c r="AO8">
        <v>62</v>
      </c>
      <c r="AP8">
        <v>62</v>
      </c>
      <c r="AQ8">
        <v>3004</v>
      </c>
      <c r="AR8">
        <v>784</v>
      </c>
      <c r="AS8">
        <v>2025</v>
      </c>
      <c r="AT8" s="23">
        <v>45818</v>
      </c>
      <c r="AU8" s="23" t="s">
        <v>178</v>
      </c>
      <c r="AV8">
        <v>2</v>
      </c>
      <c r="AW8">
        <v>496111.21</v>
      </c>
      <c r="AX8">
        <v>4930863</v>
      </c>
      <c r="AY8">
        <v>1256.63706143591</v>
      </c>
      <c r="AZ8">
        <v>125663.706143591</v>
      </c>
      <c r="BA8">
        <v>2.3873000000000002E-3</v>
      </c>
      <c r="BB8">
        <v>0</v>
      </c>
      <c r="BC8">
        <v>7.9580000000000004E-4</v>
      </c>
      <c r="BD8">
        <v>-0.1343849</v>
      </c>
      <c r="BE8">
        <v>-0.13677220000000001</v>
      </c>
      <c r="BF8">
        <v>-0.1359764</v>
      </c>
    </row>
    <row r="9" spans="1:58">
      <c r="A9">
        <v>6213</v>
      </c>
      <c r="B9" t="s">
        <v>182</v>
      </c>
      <c r="C9" t="s">
        <v>86</v>
      </c>
      <c r="G9" s="23">
        <v>43668</v>
      </c>
      <c r="H9">
        <v>2</v>
      </c>
      <c r="I9">
        <v>5385</v>
      </c>
      <c r="J9">
        <v>5</v>
      </c>
      <c r="K9">
        <v>6</v>
      </c>
      <c r="L9">
        <v>6</v>
      </c>
      <c r="M9">
        <v>8</v>
      </c>
      <c r="N9">
        <v>0.5</v>
      </c>
      <c r="O9">
        <v>0.59799999999999998</v>
      </c>
      <c r="P9">
        <v>0.59799999999999998</v>
      </c>
      <c r="Q9">
        <v>0.79400000000000004</v>
      </c>
      <c r="R9">
        <v>-123.01842499999999</v>
      </c>
      <c r="S9">
        <v>44.536853800000003</v>
      </c>
      <c r="T9">
        <v>6.25</v>
      </c>
      <c r="U9">
        <v>0.73058829999999997</v>
      </c>
      <c r="V9">
        <v>6.1168399999999998E-2</v>
      </c>
      <c r="W9">
        <v>498536.28125</v>
      </c>
      <c r="X9">
        <v>4931503</v>
      </c>
      <c r="Y9">
        <v>0</v>
      </c>
      <c r="AA9">
        <v>4</v>
      </c>
      <c r="AB9">
        <v>0</v>
      </c>
      <c r="AC9">
        <v>0.40200000000000002</v>
      </c>
      <c r="AD9">
        <v>0</v>
      </c>
      <c r="AE9">
        <v>4</v>
      </c>
      <c r="AF9">
        <v>0</v>
      </c>
      <c r="AG9">
        <v>0.40200000000000002</v>
      </c>
      <c r="AH9">
        <v>0</v>
      </c>
      <c r="AI9">
        <v>31.052177400000001</v>
      </c>
      <c r="AJ9">
        <v>1E-4</v>
      </c>
      <c r="AK9">
        <v>0</v>
      </c>
      <c r="AL9">
        <v>0.1348714</v>
      </c>
      <c r="AM9">
        <v>1</v>
      </c>
      <c r="AN9">
        <v>1</v>
      </c>
      <c r="AO9">
        <v>63</v>
      </c>
      <c r="AP9">
        <v>63</v>
      </c>
      <c r="AQ9">
        <v>5385</v>
      </c>
      <c r="AR9">
        <v>785</v>
      </c>
      <c r="AS9">
        <v>2025</v>
      </c>
      <c r="AT9" s="23">
        <v>45818</v>
      </c>
      <c r="AU9" s="23" t="s">
        <v>178</v>
      </c>
      <c r="AV9">
        <v>1</v>
      </c>
      <c r="AW9">
        <v>498536.28</v>
      </c>
      <c r="AX9">
        <v>4931503</v>
      </c>
      <c r="AY9">
        <v>1256.63706143591</v>
      </c>
      <c r="AZ9">
        <v>125663.706143591</v>
      </c>
      <c r="BA9">
        <v>7.9580000000000004E-4</v>
      </c>
      <c r="BB9">
        <v>7.9580000000000004E-4</v>
      </c>
      <c r="BC9">
        <v>6.3661999999999998E-3</v>
      </c>
      <c r="BD9">
        <v>-0.13407559999999999</v>
      </c>
      <c r="BE9">
        <v>-0.13407559999999999</v>
      </c>
      <c r="BF9">
        <v>-0.12850520000000001</v>
      </c>
    </row>
    <row r="10" spans="1:58">
      <c r="A10">
        <v>1070</v>
      </c>
      <c r="B10" t="s">
        <v>105</v>
      </c>
      <c r="C10" t="s">
        <v>86</v>
      </c>
      <c r="G10" s="23">
        <v>43668</v>
      </c>
      <c r="H10">
        <v>3</v>
      </c>
      <c r="I10">
        <v>1414</v>
      </c>
      <c r="J10">
        <v>6</v>
      </c>
      <c r="K10">
        <v>7</v>
      </c>
      <c r="L10">
        <v>7</v>
      </c>
      <c r="M10">
        <v>8</v>
      </c>
      <c r="N10">
        <v>0.59799999999999998</v>
      </c>
      <c r="O10">
        <v>0.69599999999999995</v>
      </c>
      <c r="P10">
        <v>0.69599999999999995</v>
      </c>
      <c r="Q10">
        <v>0.79400000000000004</v>
      </c>
      <c r="R10">
        <v>-123.3197098</v>
      </c>
      <c r="S10">
        <v>44.373275800000002</v>
      </c>
      <c r="T10">
        <v>7</v>
      </c>
      <c r="U10">
        <v>0.81705879999999997</v>
      </c>
      <c r="V10">
        <v>2.0224300000000001E-2</v>
      </c>
      <c r="W10">
        <v>474528.90625</v>
      </c>
      <c r="X10">
        <v>4913383</v>
      </c>
      <c r="Y10">
        <v>0</v>
      </c>
      <c r="AA10">
        <v>5</v>
      </c>
      <c r="AB10">
        <v>0</v>
      </c>
      <c r="AC10">
        <v>0.5</v>
      </c>
      <c r="AD10">
        <v>0</v>
      </c>
      <c r="AE10">
        <v>6</v>
      </c>
      <c r="AF10">
        <v>2.7114000000000001E-3</v>
      </c>
      <c r="AG10">
        <v>0.59799999999999998</v>
      </c>
      <c r="AH10">
        <v>1</v>
      </c>
      <c r="AI10">
        <v>31.052177400000001</v>
      </c>
      <c r="AJ10">
        <v>0.74424780000000001</v>
      </c>
      <c r="AK10">
        <v>1</v>
      </c>
      <c r="AL10">
        <v>0.21566289999999999</v>
      </c>
      <c r="AM10">
        <v>1</v>
      </c>
      <c r="AN10">
        <v>1</v>
      </c>
      <c r="AO10">
        <v>70</v>
      </c>
      <c r="AP10">
        <v>70</v>
      </c>
      <c r="AQ10">
        <v>1414</v>
      </c>
      <c r="AR10">
        <v>792</v>
      </c>
      <c r="AS10">
        <v>2025</v>
      </c>
      <c r="AT10" s="23">
        <v>45819</v>
      </c>
      <c r="AU10" s="23" t="s">
        <v>178</v>
      </c>
      <c r="AV10">
        <v>0</v>
      </c>
      <c r="AW10">
        <v>474528.9</v>
      </c>
      <c r="AX10">
        <v>4913383</v>
      </c>
      <c r="AY10">
        <v>1256.63706143591</v>
      </c>
      <c r="AZ10">
        <v>125663.706143591</v>
      </c>
      <c r="BA10">
        <v>0.29406470000000001</v>
      </c>
      <c r="BB10">
        <v>0.31157180000000001</v>
      </c>
      <c r="BC10">
        <v>0.35402549999999999</v>
      </c>
      <c r="BD10">
        <v>7.8401799999999994E-2</v>
      </c>
      <c r="BE10">
        <v>9.5908900000000005E-2</v>
      </c>
      <c r="BF10">
        <v>0.1383626</v>
      </c>
    </row>
    <row r="11" spans="1:58">
      <c r="A11">
        <v>2616</v>
      </c>
      <c r="B11" t="s">
        <v>183</v>
      </c>
      <c r="C11" t="s">
        <v>86</v>
      </c>
      <c r="G11" s="23">
        <v>43668</v>
      </c>
      <c r="H11">
        <v>3</v>
      </c>
      <c r="I11">
        <v>2710</v>
      </c>
      <c r="J11">
        <v>8</v>
      </c>
      <c r="K11">
        <v>8</v>
      </c>
      <c r="L11">
        <v>6</v>
      </c>
      <c r="M11">
        <v>8</v>
      </c>
      <c r="N11">
        <v>0.79400000000000004</v>
      </c>
      <c r="O11">
        <v>0.79400000000000004</v>
      </c>
      <c r="P11">
        <v>0.59799999999999998</v>
      </c>
      <c r="Q11">
        <v>0.79400000000000004</v>
      </c>
      <c r="R11">
        <v>-123.3634033</v>
      </c>
      <c r="S11">
        <v>44.4784279</v>
      </c>
      <c r="T11">
        <v>7.5</v>
      </c>
      <c r="U11">
        <v>0.87470590000000004</v>
      </c>
      <c r="V11">
        <v>0.17862149999999999</v>
      </c>
      <c r="W11">
        <v>471099.65625</v>
      </c>
      <c r="X11">
        <v>4925077</v>
      </c>
      <c r="Y11">
        <v>0</v>
      </c>
      <c r="AA11">
        <v>8</v>
      </c>
      <c r="AB11">
        <v>0.19211929999999999</v>
      </c>
      <c r="AC11">
        <v>0.79400000000000004</v>
      </c>
      <c r="AD11">
        <v>0</v>
      </c>
      <c r="AE11">
        <v>7</v>
      </c>
      <c r="AF11">
        <v>0.13620579999999999</v>
      </c>
      <c r="AG11">
        <v>0.69599999999999995</v>
      </c>
      <c r="AH11">
        <v>0</v>
      </c>
      <c r="AI11">
        <v>31.052177400000001</v>
      </c>
      <c r="AJ11">
        <v>7.24104E-2</v>
      </c>
      <c r="AK11">
        <v>0</v>
      </c>
      <c r="AL11">
        <v>0.1648655</v>
      </c>
      <c r="AM11">
        <v>1</v>
      </c>
      <c r="AN11">
        <v>1</v>
      </c>
      <c r="AO11">
        <v>66</v>
      </c>
      <c r="AP11">
        <v>66</v>
      </c>
      <c r="AQ11">
        <v>2710</v>
      </c>
      <c r="AR11">
        <v>788</v>
      </c>
      <c r="AS11">
        <v>2025</v>
      </c>
      <c r="AT11" s="23">
        <v>45819</v>
      </c>
      <c r="AU11" s="23" t="s">
        <v>178</v>
      </c>
      <c r="AV11">
        <v>0</v>
      </c>
      <c r="AW11">
        <v>471099.65</v>
      </c>
      <c r="AX11">
        <v>4925077</v>
      </c>
      <c r="AY11">
        <v>1256.63706143591</v>
      </c>
      <c r="AZ11">
        <v>125663.706143591</v>
      </c>
      <c r="BA11">
        <v>7.9580000000000004E-4</v>
      </c>
      <c r="BB11">
        <v>7.9580000000000004E-4</v>
      </c>
      <c r="BC11">
        <v>7.9580000000000004E-4</v>
      </c>
      <c r="BD11">
        <v>-0.16406970000000001</v>
      </c>
      <c r="BE11">
        <v>-0.16406970000000001</v>
      </c>
      <c r="BF11">
        <v>-0.16406970000000001</v>
      </c>
    </row>
    <row r="12" spans="1:58">
      <c r="A12">
        <v>3328</v>
      </c>
      <c r="B12" t="s">
        <v>184</v>
      </c>
      <c r="C12" t="s">
        <v>86</v>
      </c>
      <c r="G12" s="23">
        <v>43668</v>
      </c>
      <c r="H12">
        <v>3</v>
      </c>
      <c r="I12">
        <v>3254</v>
      </c>
      <c r="J12">
        <v>8</v>
      </c>
      <c r="K12">
        <v>8</v>
      </c>
      <c r="L12">
        <v>7</v>
      </c>
      <c r="M12">
        <v>8</v>
      </c>
      <c r="N12">
        <v>0.79400000000000004</v>
      </c>
      <c r="O12">
        <v>0.79400000000000004</v>
      </c>
      <c r="P12">
        <v>0.69599999999999995</v>
      </c>
      <c r="Q12">
        <v>0.79400000000000004</v>
      </c>
      <c r="R12">
        <v>-123.2862015</v>
      </c>
      <c r="S12">
        <v>44.428832999999997</v>
      </c>
      <c r="T12">
        <v>7.75</v>
      </c>
      <c r="U12">
        <v>0.90352940000000004</v>
      </c>
      <c r="V12">
        <v>0.1044678</v>
      </c>
      <c r="W12">
        <v>477220.21875</v>
      </c>
      <c r="X12">
        <v>4919544</v>
      </c>
      <c r="Y12">
        <v>0</v>
      </c>
      <c r="AA12">
        <v>5</v>
      </c>
      <c r="AB12">
        <v>0</v>
      </c>
      <c r="AC12">
        <v>0.5</v>
      </c>
      <c r="AD12">
        <v>0</v>
      </c>
      <c r="AE12">
        <v>5</v>
      </c>
      <c r="AF12">
        <v>0</v>
      </c>
      <c r="AG12">
        <v>0.5</v>
      </c>
      <c r="AH12">
        <v>0</v>
      </c>
      <c r="AI12">
        <v>31.052177400000001</v>
      </c>
      <c r="AJ12">
        <v>1E-4</v>
      </c>
      <c r="AK12">
        <v>0</v>
      </c>
      <c r="AL12">
        <v>0.1037695</v>
      </c>
      <c r="AM12">
        <v>1</v>
      </c>
      <c r="AN12">
        <v>1</v>
      </c>
      <c r="AO12">
        <v>68</v>
      </c>
      <c r="AP12">
        <v>68</v>
      </c>
      <c r="AQ12">
        <v>3254</v>
      </c>
      <c r="AR12">
        <v>790</v>
      </c>
      <c r="AS12">
        <v>2025</v>
      </c>
      <c r="AT12" s="23">
        <v>45819</v>
      </c>
      <c r="AU12" s="23" t="s">
        <v>178</v>
      </c>
      <c r="AV12">
        <v>0</v>
      </c>
      <c r="AW12">
        <v>477220.21</v>
      </c>
      <c r="AX12">
        <v>4919544</v>
      </c>
      <c r="AY12">
        <v>1256.63706143591</v>
      </c>
      <c r="AZ12">
        <v>125663.706143591</v>
      </c>
      <c r="BA12">
        <v>7.2264499999999995E-2</v>
      </c>
      <c r="BB12">
        <v>7.9580000000000004E-4</v>
      </c>
      <c r="BC12">
        <v>5.43171E-2</v>
      </c>
      <c r="BD12">
        <v>-3.1504900000000002E-2</v>
      </c>
      <c r="BE12">
        <v>-0.1029737</v>
      </c>
      <c r="BF12">
        <v>-4.9452400000000001E-2</v>
      </c>
    </row>
    <row r="13" spans="1:58">
      <c r="A13">
        <v>4193</v>
      </c>
      <c r="B13" t="s">
        <v>185</v>
      </c>
      <c r="C13" t="s">
        <v>86</v>
      </c>
      <c r="G13" s="23">
        <v>43668</v>
      </c>
      <c r="H13">
        <v>3</v>
      </c>
      <c r="I13">
        <v>3923</v>
      </c>
      <c r="J13">
        <v>7</v>
      </c>
      <c r="K13">
        <v>8</v>
      </c>
      <c r="L13">
        <v>6</v>
      </c>
      <c r="M13">
        <v>8</v>
      </c>
      <c r="N13">
        <v>0.69599999999999995</v>
      </c>
      <c r="O13">
        <v>0.79400000000000004</v>
      </c>
      <c r="P13">
        <v>0.59799999999999998</v>
      </c>
      <c r="Q13">
        <v>0.79400000000000004</v>
      </c>
      <c r="R13">
        <v>-123.3388138</v>
      </c>
      <c r="S13">
        <v>44.478984799999999</v>
      </c>
      <c r="T13">
        <v>7.25</v>
      </c>
      <c r="U13">
        <v>0.84588240000000003</v>
      </c>
      <c r="V13">
        <v>0.1934448</v>
      </c>
      <c r="W13">
        <v>473055.6875</v>
      </c>
      <c r="X13">
        <v>4925130.5</v>
      </c>
      <c r="Y13">
        <v>0</v>
      </c>
      <c r="AA13">
        <v>6</v>
      </c>
      <c r="AB13">
        <v>2.6529299999999999E-2</v>
      </c>
      <c r="AC13">
        <v>0.59799999999999998</v>
      </c>
      <c r="AD13">
        <v>0</v>
      </c>
      <c r="AE13">
        <v>8</v>
      </c>
      <c r="AF13">
        <v>0.1785294</v>
      </c>
      <c r="AG13">
        <v>0.79400000000000004</v>
      </c>
      <c r="AH13">
        <v>0</v>
      </c>
      <c r="AI13">
        <v>31.052177400000001</v>
      </c>
      <c r="AJ13">
        <v>0.12158339999999999</v>
      </c>
      <c r="AK13">
        <v>1</v>
      </c>
      <c r="AL13">
        <v>0.1615172</v>
      </c>
      <c r="AM13">
        <v>1</v>
      </c>
      <c r="AN13">
        <v>1</v>
      </c>
      <c r="AO13">
        <v>65</v>
      </c>
      <c r="AP13">
        <v>65</v>
      </c>
      <c r="AQ13">
        <v>3923</v>
      </c>
      <c r="AR13">
        <v>787</v>
      </c>
      <c r="AS13">
        <v>2025</v>
      </c>
      <c r="AT13" s="23">
        <v>45819</v>
      </c>
      <c r="AU13" s="23" t="s">
        <v>178</v>
      </c>
      <c r="AV13">
        <v>0</v>
      </c>
      <c r="AW13">
        <v>473055.679999999</v>
      </c>
      <c r="AX13">
        <v>4925130.5</v>
      </c>
      <c r="AY13">
        <v>1256.63706143591</v>
      </c>
      <c r="AZ13">
        <v>125663.706143591</v>
      </c>
      <c r="BA13">
        <v>7.9580000000000004E-4</v>
      </c>
      <c r="BB13">
        <v>1.5915E-3</v>
      </c>
      <c r="BC13">
        <v>4.5586000000000003E-3</v>
      </c>
      <c r="BD13">
        <v>-0.16072139999999999</v>
      </c>
      <c r="BE13">
        <v>-0.1599256</v>
      </c>
      <c r="BF13">
        <v>-0.1569585</v>
      </c>
    </row>
    <row r="14" spans="1:58">
      <c r="A14">
        <v>4280</v>
      </c>
      <c r="B14" t="s">
        <v>117</v>
      </c>
      <c r="C14" t="s">
        <v>86</v>
      </c>
      <c r="G14" s="23">
        <v>43668</v>
      </c>
      <c r="H14">
        <v>3</v>
      </c>
      <c r="I14">
        <v>3987</v>
      </c>
      <c r="J14">
        <v>6</v>
      </c>
      <c r="K14">
        <v>8</v>
      </c>
      <c r="L14">
        <v>8</v>
      </c>
      <c r="M14">
        <v>8</v>
      </c>
      <c r="N14">
        <v>0.59799999999999998</v>
      </c>
      <c r="O14">
        <v>0.79400000000000004</v>
      </c>
      <c r="P14">
        <v>0.79400000000000004</v>
      </c>
      <c r="Q14">
        <v>0.79400000000000004</v>
      </c>
      <c r="R14">
        <v>-123.2467194</v>
      </c>
      <c r="S14">
        <v>44.304843900000002</v>
      </c>
      <c r="T14">
        <v>7.5</v>
      </c>
      <c r="U14">
        <v>0.87470590000000004</v>
      </c>
      <c r="V14">
        <v>2.1605999999999999E-3</v>
      </c>
      <c r="W14">
        <v>480321.21875</v>
      </c>
      <c r="X14">
        <v>4905761.5</v>
      </c>
      <c r="Y14">
        <v>0</v>
      </c>
      <c r="AA14">
        <v>8</v>
      </c>
      <c r="AB14">
        <v>0.5855475</v>
      </c>
      <c r="AC14">
        <v>0.79400000000000004</v>
      </c>
      <c r="AD14">
        <v>0</v>
      </c>
      <c r="AE14">
        <v>8</v>
      </c>
      <c r="AF14">
        <v>0.65616300000000005</v>
      </c>
      <c r="AG14">
        <v>0.79400000000000004</v>
      </c>
      <c r="AH14">
        <v>0</v>
      </c>
      <c r="AI14">
        <v>31.052177400000001</v>
      </c>
      <c r="AJ14">
        <v>0.3233818</v>
      </c>
      <c r="AK14">
        <v>1</v>
      </c>
      <c r="AL14">
        <v>0.18578259999999999</v>
      </c>
      <c r="AM14">
        <v>1</v>
      </c>
      <c r="AN14">
        <v>1</v>
      </c>
      <c r="AO14">
        <v>73</v>
      </c>
      <c r="AP14">
        <v>73</v>
      </c>
      <c r="AQ14">
        <v>3987</v>
      </c>
      <c r="AR14">
        <v>795</v>
      </c>
      <c r="AS14">
        <v>2025</v>
      </c>
      <c r="AT14" s="23">
        <v>45819</v>
      </c>
      <c r="AU14" s="23" t="s">
        <v>178</v>
      </c>
      <c r="AV14">
        <v>0</v>
      </c>
      <c r="AW14">
        <v>480321.21</v>
      </c>
      <c r="AX14">
        <v>4905761.5</v>
      </c>
      <c r="AY14">
        <v>1256.63706143591</v>
      </c>
      <c r="AZ14">
        <v>125663.706143591</v>
      </c>
      <c r="BA14">
        <v>7.9580000000000004E-4</v>
      </c>
      <c r="BB14">
        <v>1.5899E-3</v>
      </c>
      <c r="BC14">
        <v>7.9580000000000004E-4</v>
      </c>
      <c r="BD14">
        <v>-0.18498680000000001</v>
      </c>
      <c r="BE14">
        <v>-0.18419269999999999</v>
      </c>
      <c r="BF14">
        <v>-0.18498680000000001</v>
      </c>
    </row>
    <row r="15" spans="1:58">
      <c r="A15">
        <v>4405</v>
      </c>
      <c r="B15" t="s">
        <v>107</v>
      </c>
      <c r="C15" t="s">
        <v>86</v>
      </c>
      <c r="G15" s="23">
        <v>43668</v>
      </c>
      <c r="H15">
        <v>3</v>
      </c>
      <c r="I15">
        <v>4071</v>
      </c>
      <c r="J15">
        <v>7</v>
      </c>
      <c r="K15">
        <v>8</v>
      </c>
      <c r="L15">
        <v>8</v>
      </c>
      <c r="M15">
        <v>8</v>
      </c>
      <c r="N15">
        <v>0.69599999999999995</v>
      </c>
      <c r="O15">
        <v>0.79400000000000004</v>
      </c>
      <c r="P15">
        <v>0.79400000000000004</v>
      </c>
      <c r="Q15">
        <v>0.79400000000000004</v>
      </c>
      <c r="R15">
        <v>-123.3183746</v>
      </c>
      <c r="S15">
        <v>44.299400300000002</v>
      </c>
      <c r="T15">
        <v>7.75</v>
      </c>
      <c r="U15">
        <v>0.90352940000000004</v>
      </c>
      <c r="V15">
        <v>0.20379890000000001</v>
      </c>
      <c r="W15">
        <v>474603.21875</v>
      </c>
      <c r="X15">
        <v>4905176.5</v>
      </c>
      <c r="Y15">
        <v>0</v>
      </c>
      <c r="AA15">
        <v>7</v>
      </c>
      <c r="AB15">
        <v>0.21304010000000001</v>
      </c>
      <c r="AC15">
        <v>0.69599999999999995</v>
      </c>
      <c r="AD15">
        <v>0</v>
      </c>
      <c r="AE15">
        <v>7</v>
      </c>
      <c r="AF15">
        <v>0.29677439999999999</v>
      </c>
      <c r="AG15">
        <v>0.69599999999999995</v>
      </c>
      <c r="AH15">
        <v>0</v>
      </c>
      <c r="AI15">
        <v>31.052177400000001</v>
      </c>
      <c r="AJ15">
        <v>0.16395889999999999</v>
      </c>
      <c r="AK15">
        <v>1</v>
      </c>
      <c r="AL15">
        <v>0.1407195</v>
      </c>
      <c r="AM15">
        <v>1</v>
      </c>
      <c r="AN15">
        <v>1</v>
      </c>
      <c r="AO15">
        <v>72</v>
      </c>
      <c r="AP15">
        <v>72</v>
      </c>
      <c r="AQ15">
        <v>4071</v>
      </c>
      <c r="AR15">
        <v>794</v>
      </c>
      <c r="AS15">
        <v>2025</v>
      </c>
      <c r="AT15" s="23">
        <v>45819</v>
      </c>
      <c r="AU15" s="23" t="s">
        <v>178</v>
      </c>
      <c r="AV15">
        <v>0</v>
      </c>
      <c r="AW15">
        <v>474603.21</v>
      </c>
      <c r="AX15">
        <v>4905176.5</v>
      </c>
      <c r="AY15">
        <v>1256.63706143591</v>
      </c>
      <c r="AZ15">
        <v>125663.706143591</v>
      </c>
      <c r="BA15">
        <v>0.24495210000000001</v>
      </c>
      <c r="BB15">
        <v>1.5915E-3</v>
      </c>
      <c r="BC15">
        <v>2.3873000000000002E-3</v>
      </c>
      <c r="BD15">
        <v>0.10423259999999999</v>
      </c>
      <c r="BE15">
        <v>-0.139128</v>
      </c>
      <c r="BF15">
        <v>-0.13833219999999999</v>
      </c>
    </row>
    <row r="16" spans="1:58">
      <c r="A16">
        <v>4934</v>
      </c>
      <c r="B16" t="s">
        <v>97</v>
      </c>
      <c r="C16" t="s">
        <v>98</v>
      </c>
      <c r="D16" t="s">
        <v>99</v>
      </c>
      <c r="G16" s="23">
        <v>43668</v>
      </c>
      <c r="H16">
        <v>3</v>
      </c>
      <c r="I16">
        <v>4450</v>
      </c>
      <c r="J16">
        <v>4</v>
      </c>
      <c r="K16">
        <v>6</v>
      </c>
      <c r="L16">
        <v>5</v>
      </c>
      <c r="M16">
        <v>7</v>
      </c>
      <c r="N16">
        <v>0.40200000000000002</v>
      </c>
      <c r="O16">
        <v>0.59799999999999998</v>
      </c>
      <c r="P16">
        <v>0.5</v>
      </c>
      <c r="Q16">
        <v>0.69599999999999995</v>
      </c>
      <c r="R16">
        <v>-123.2724533</v>
      </c>
      <c r="S16">
        <v>44.3014145</v>
      </c>
      <c r="T16">
        <v>5.5</v>
      </c>
      <c r="U16">
        <v>0.64411770000000002</v>
      </c>
      <c r="V16">
        <v>2.0809000000000001E-3</v>
      </c>
      <c r="W16">
        <v>478267.21875</v>
      </c>
      <c r="X16">
        <v>4905387.5</v>
      </c>
      <c r="Y16">
        <v>0</v>
      </c>
      <c r="AA16">
        <v>4</v>
      </c>
      <c r="AB16">
        <v>0</v>
      </c>
      <c r="AC16">
        <v>0.40200000000000002</v>
      </c>
      <c r="AD16">
        <v>0</v>
      </c>
      <c r="AE16">
        <v>4</v>
      </c>
      <c r="AF16">
        <v>0</v>
      </c>
      <c r="AG16">
        <v>0.40200000000000002</v>
      </c>
      <c r="AH16">
        <v>0</v>
      </c>
      <c r="AI16">
        <v>31.052177400000001</v>
      </c>
      <c r="AJ16">
        <v>1E-4</v>
      </c>
      <c r="AK16">
        <v>0</v>
      </c>
      <c r="AL16">
        <v>1.27321E-2</v>
      </c>
      <c r="AM16">
        <v>1</v>
      </c>
      <c r="AN16">
        <v>1</v>
      </c>
      <c r="AO16">
        <v>71</v>
      </c>
      <c r="AP16">
        <v>71</v>
      </c>
      <c r="AQ16">
        <v>4450</v>
      </c>
      <c r="AR16">
        <v>793</v>
      </c>
      <c r="AS16">
        <v>2025</v>
      </c>
      <c r="AT16" s="23">
        <v>45819</v>
      </c>
      <c r="AU16" s="23" t="s">
        <v>178</v>
      </c>
      <c r="AV16">
        <v>0</v>
      </c>
      <c r="AW16">
        <v>478267.21</v>
      </c>
      <c r="AX16">
        <v>4905387.5</v>
      </c>
      <c r="AY16">
        <v>1256.63706143591</v>
      </c>
      <c r="AZ16">
        <v>125663.706143591</v>
      </c>
      <c r="BA16">
        <v>5.41127E-2</v>
      </c>
      <c r="BB16">
        <v>5.80916E-2</v>
      </c>
      <c r="BC16">
        <v>7.9580000000000004E-4</v>
      </c>
      <c r="BD16">
        <v>4.1380599999999997E-2</v>
      </c>
      <c r="BE16">
        <v>4.5359400000000001E-2</v>
      </c>
      <c r="BF16">
        <v>-1.19363E-2</v>
      </c>
    </row>
    <row r="17" spans="1:58">
      <c r="A17">
        <v>5129</v>
      </c>
      <c r="B17" t="s">
        <v>185</v>
      </c>
      <c r="C17" t="s">
        <v>86</v>
      </c>
      <c r="G17" s="23">
        <v>43668</v>
      </c>
      <c r="H17">
        <v>3</v>
      </c>
      <c r="I17">
        <v>4607</v>
      </c>
      <c r="J17">
        <v>7</v>
      </c>
      <c r="K17">
        <v>8</v>
      </c>
      <c r="L17">
        <v>6</v>
      </c>
      <c r="M17">
        <v>7</v>
      </c>
      <c r="N17">
        <v>0.69599999999999995</v>
      </c>
      <c r="O17">
        <v>0.79400000000000004</v>
      </c>
      <c r="P17">
        <v>0.59799999999999998</v>
      </c>
      <c r="Q17">
        <v>0.69599999999999995</v>
      </c>
      <c r="R17">
        <v>-123.36186979999999</v>
      </c>
      <c r="S17">
        <v>44.323425299999997</v>
      </c>
      <c r="T17">
        <v>7</v>
      </c>
      <c r="U17">
        <v>0.81705879999999997</v>
      </c>
      <c r="V17">
        <v>6.1146999999999998E-3</v>
      </c>
      <c r="W17">
        <v>471145.53125</v>
      </c>
      <c r="X17">
        <v>4907859.5</v>
      </c>
      <c r="Y17">
        <v>0</v>
      </c>
      <c r="AA17">
        <v>3</v>
      </c>
      <c r="AB17">
        <v>0</v>
      </c>
      <c r="AC17">
        <v>0.30399999999999999</v>
      </c>
      <c r="AD17">
        <v>0</v>
      </c>
      <c r="AE17">
        <v>7</v>
      </c>
      <c r="AF17">
        <v>2.4945999999999999E-2</v>
      </c>
      <c r="AG17">
        <v>0.69599999999999995</v>
      </c>
      <c r="AH17">
        <v>0</v>
      </c>
      <c r="AI17">
        <v>31.052177400000001</v>
      </c>
      <c r="AJ17">
        <v>0.14329</v>
      </c>
      <c r="AK17">
        <v>1</v>
      </c>
      <c r="AL17">
        <v>6.0086199999999999E-2</v>
      </c>
      <c r="AM17">
        <v>1</v>
      </c>
      <c r="AN17">
        <v>1</v>
      </c>
      <c r="AO17">
        <v>69</v>
      </c>
      <c r="AP17">
        <v>69</v>
      </c>
      <c r="AQ17">
        <v>4607</v>
      </c>
      <c r="AR17">
        <v>791</v>
      </c>
      <c r="AS17">
        <v>2025</v>
      </c>
      <c r="AT17" s="23">
        <v>45819</v>
      </c>
      <c r="AU17" s="23" t="s">
        <v>178</v>
      </c>
      <c r="AV17">
        <v>0</v>
      </c>
      <c r="AW17">
        <v>471145.53</v>
      </c>
      <c r="AX17">
        <v>4907859.5</v>
      </c>
      <c r="AY17">
        <v>1256.63706143591</v>
      </c>
      <c r="AZ17">
        <v>125663.706143591</v>
      </c>
      <c r="BA17">
        <v>5.8632999999999998E-2</v>
      </c>
      <c r="BB17">
        <v>5.5449900000000003E-2</v>
      </c>
      <c r="BC17">
        <v>5.6313000000000002E-2</v>
      </c>
      <c r="BD17">
        <v>-1.4532E-3</v>
      </c>
      <c r="BE17">
        <v>-4.6363000000000003E-3</v>
      </c>
      <c r="BF17">
        <v>-3.7732E-3</v>
      </c>
    </row>
    <row r="18" spans="1:58">
      <c r="A18">
        <v>5261</v>
      </c>
      <c r="B18" t="s">
        <v>185</v>
      </c>
      <c r="C18" t="s">
        <v>86</v>
      </c>
      <c r="G18" s="23">
        <v>43668</v>
      </c>
      <c r="H18">
        <v>3</v>
      </c>
      <c r="I18">
        <v>4704</v>
      </c>
      <c r="J18">
        <v>6</v>
      </c>
      <c r="K18">
        <v>7</v>
      </c>
      <c r="L18">
        <v>8</v>
      </c>
      <c r="M18">
        <v>8</v>
      </c>
      <c r="N18">
        <v>0.59799999999999998</v>
      </c>
      <c r="O18">
        <v>0.69599999999999995</v>
      </c>
      <c r="P18">
        <v>0.79400000000000004</v>
      </c>
      <c r="Q18">
        <v>0.79400000000000004</v>
      </c>
      <c r="R18">
        <v>-123.33222960000001</v>
      </c>
      <c r="S18">
        <v>44.436988800000002</v>
      </c>
      <c r="T18">
        <v>7.25</v>
      </c>
      <c r="U18">
        <v>0.84588240000000003</v>
      </c>
      <c r="V18">
        <v>0.17198440000000001</v>
      </c>
      <c r="W18">
        <v>473560.28125</v>
      </c>
      <c r="X18">
        <v>4920463.5</v>
      </c>
      <c r="Y18">
        <v>0</v>
      </c>
      <c r="AA18">
        <v>6</v>
      </c>
      <c r="AB18">
        <v>8.3357000000000001E-2</v>
      </c>
      <c r="AC18">
        <v>0.59799999999999998</v>
      </c>
      <c r="AD18">
        <v>1</v>
      </c>
      <c r="AE18">
        <v>7</v>
      </c>
      <c r="AF18">
        <v>8.5639300000000002E-2</v>
      </c>
      <c r="AG18">
        <v>0.69599999999999995</v>
      </c>
      <c r="AH18">
        <v>0</v>
      </c>
      <c r="AI18">
        <v>31.052177400000001</v>
      </c>
      <c r="AJ18">
        <v>5.9769000000000003E-3</v>
      </c>
      <c r="AK18">
        <v>0</v>
      </c>
      <c r="AL18">
        <v>3.3484800000000002E-2</v>
      </c>
      <c r="AM18">
        <v>1</v>
      </c>
      <c r="AN18">
        <v>1</v>
      </c>
      <c r="AO18">
        <v>67</v>
      </c>
      <c r="AP18">
        <v>67</v>
      </c>
      <c r="AQ18">
        <v>4704</v>
      </c>
      <c r="AR18">
        <v>789</v>
      </c>
      <c r="AS18">
        <v>2025</v>
      </c>
      <c r="AT18" s="23">
        <v>45819</v>
      </c>
      <c r="AU18" s="23" t="s">
        <v>178</v>
      </c>
      <c r="AV18">
        <v>0</v>
      </c>
      <c r="AW18">
        <v>473560.28</v>
      </c>
      <c r="AX18">
        <v>4920463.5</v>
      </c>
      <c r="AY18">
        <v>1256.63706143591</v>
      </c>
      <c r="AZ18">
        <v>125663.706143591</v>
      </c>
      <c r="BA18">
        <v>7.9580000000000004E-4</v>
      </c>
      <c r="BB18">
        <v>7.9580000000000004E-4</v>
      </c>
      <c r="BC18">
        <v>7.9580000000000004E-4</v>
      </c>
      <c r="BD18">
        <v>-3.2689000000000003E-2</v>
      </c>
      <c r="BE18">
        <v>-3.2689000000000003E-2</v>
      </c>
      <c r="BF18">
        <v>-3.2689000000000003E-2</v>
      </c>
    </row>
    <row r="19" spans="1:58">
      <c r="A19">
        <v>201</v>
      </c>
      <c r="B19" t="s">
        <v>186</v>
      </c>
      <c r="C19" t="s">
        <v>146</v>
      </c>
      <c r="D19" t="s">
        <v>137</v>
      </c>
      <c r="G19" s="23">
        <v>43668</v>
      </c>
      <c r="H19">
        <v>1</v>
      </c>
      <c r="I19">
        <v>700</v>
      </c>
      <c r="J19">
        <v>5</v>
      </c>
      <c r="K19">
        <v>6</v>
      </c>
      <c r="L19">
        <v>5</v>
      </c>
      <c r="M19">
        <v>7</v>
      </c>
      <c r="N19">
        <v>0.5</v>
      </c>
      <c r="O19">
        <v>0.59799999999999998</v>
      </c>
      <c r="P19">
        <v>0.5</v>
      </c>
      <c r="Q19">
        <v>0.69599999999999995</v>
      </c>
      <c r="R19">
        <v>-122.917244</v>
      </c>
      <c r="S19">
        <v>44.995231599999997</v>
      </c>
      <c r="T19">
        <v>5.75</v>
      </c>
      <c r="U19">
        <v>0.67294109999999996</v>
      </c>
      <c r="V19">
        <v>4.7746000000000004E-3</v>
      </c>
      <c r="W19">
        <v>506523.1875</v>
      </c>
      <c r="X19">
        <v>4982424</v>
      </c>
      <c r="Y19">
        <v>0</v>
      </c>
      <c r="AA19">
        <v>8</v>
      </c>
      <c r="AB19">
        <v>2.18981E-2</v>
      </c>
      <c r="AC19">
        <v>0.79400000000000004</v>
      </c>
      <c r="AD19">
        <v>0</v>
      </c>
      <c r="AE19">
        <v>5</v>
      </c>
      <c r="AF19">
        <v>0</v>
      </c>
      <c r="AG19">
        <v>0.5</v>
      </c>
      <c r="AH19">
        <v>0</v>
      </c>
      <c r="AI19">
        <v>31.052177400000001</v>
      </c>
      <c r="AJ19">
        <v>7.4320000000000002E-3</v>
      </c>
      <c r="AK19">
        <v>0</v>
      </c>
      <c r="AL19">
        <v>0.2426625</v>
      </c>
      <c r="AM19">
        <v>1</v>
      </c>
      <c r="AN19">
        <v>1</v>
      </c>
      <c r="AO19">
        <v>125</v>
      </c>
      <c r="AP19">
        <v>125</v>
      </c>
      <c r="AQ19">
        <v>700</v>
      </c>
      <c r="AR19">
        <v>848</v>
      </c>
      <c r="AS19">
        <v>2025</v>
      </c>
      <c r="AT19" s="23">
        <v>45820</v>
      </c>
      <c r="AU19" s="23" t="s">
        <v>178</v>
      </c>
      <c r="AV19">
        <v>0</v>
      </c>
      <c r="AW19">
        <v>506523.179999999</v>
      </c>
      <c r="AX19">
        <v>4982424</v>
      </c>
      <c r="AY19">
        <v>1256.63706143591</v>
      </c>
      <c r="AZ19">
        <v>125663.706143591</v>
      </c>
      <c r="BA19">
        <v>7.9580000000000004E-4</v>
      </c>
      <c r="BB19">
        <v>0.1037926</v>
      </c>
      <c r="BC19">
        <v>7.9580000000000004E-4</v>
      </c>
      <c r="BD19">
        <v>-0.24186669999999999</v>
      </c>
      <c r="BE19">
        <v>-0.13886979999999999</v>
      </c>
      <c r="BF19">
        <v>-0.24186669999999999</v>
      </c>
    </row>
    <row r="20" spans="1:58">
      <c r="A20">
        <v>555</v>
      </c>
      <c r="B20" t="s">
        <v>187</v>
      </c>
      <c r="C20" t="s">
        <v>86</v>
      </c>
      <c r="G20" s="23">
        <v>43668</v>
      </c>
      <c r="H20">
        <v>3</v>
      </c>
      <c r="I20">
        <v>984</v>
      </c>
      <c r="J20">
        <v>6</v>
      </c>
      <c r="K20">
        <v>8</v>
      </c>
      <c r="L20">
        <v>5</v>
      </c>
      <c r="M20">
        <v>8</v>
      </c>
      <c r="N20">
        <v>0.59799999999999998</v>
      </c>
      <c r="O20">
        <v>0.79400000000000004</v>
      </c>
      <c r="P20">
        <v>0.5</v>
      </c>
      <c r="Q20">
        <v>0.79400000000000004</v>
      </c>
      <c r="R20">
        <v>-123.27600099999999</v>
      </c>
      <c r="S20">
        <v>44.976184799999999</v>
      </c>
      <c r="T20">
        <v>6.75</v>
      </c>
      <c r="U20">
        <v>0.78823529999999997</v>
      </c>
      <c r="V20">
        <v>0.46126620000000002</v>
      </c>
      <c r="W20">
        <v>478237.96875</v>
      </c>
      <c r="X20">
        <v>4980342</v>
      </c>
      <c r="Y20">
        <v>0</v>
      </c>
      <c r="AA20">
        <v>8</v>
      </c>
      <c r="AB20">
        <v>0.1450187</v>
      </c>
      <c r="AC20">
        <v>0.79400000000000004</v>
      </c>
      <c r="AD20">
        <v>0</v>
      </c>
      <c r="AE20">
        <v>8</v>
      </c>
      <c r="AF20">
        <v>0.36172399999999999</v>
      </c>
      <c r="AG20">
        <v>0.79400000000000004</v>
      </c>
      <c r="AH20">
        <v>0</v>
      </c>
      <c r="AI20">
        <v>31.052177400000001</v>
      </c>
      <c r="AJ20">
        <v>0.15633069999999999</v>
      </c>
      <c r="AK20">
        <v>1</v>
      </c>
      <c r="AL20">
        <v>0.15197640000000001</v>
      </c>
      <c r="AM20">
        <v>1</v>
      </c>
      <c r="AN20">
        <v>1</v>
      </c>
      <c r="AO20">
        <v>120</v>
      </c>
      <c r="AP20">
        <v>120</v>
      </c>
      <c r="AQ20">
        <v>984</v>
      </c>
      <c r="AR20">
        <v>843</v>
      </c>
      <c r="AS20">
        <v>2025</v>
      </c>
      <c r="AT20" s="23">
        <v>45820</v>
      </c>
      <c r="AU20" s="23" t="s">
        <v>178</v>
      </c>
      <c r="AV20">
        <v>0</v>
      </c>
      <c r="AW20">
        <v>478237.96</v>
      </c>
      <c r="AX20">
        <v>4980342</v>
      </c>
      <c r="AY20">
        <v>1256.63706143591</v>
      </c>
      <c r="AZ20">
        <v>125663.706143591</v>
      </c>
      <c r="BA20">
        <v>0.1856236</v>
      </c>
      <c r="BB20">
        <v>0.55726229999999999</v>
      </c>
      <c r="BC20">
        <v>1.12777E-2</v>
      </c>
      <c r="BD20">
        <v>3.3647200000000002E-2</v>
      </c>
      <c r="BE20">
        <v>0.40528589999999998</v>
      </c>
      <c r="BF20">
        <v>-0.14069870000000001</v>
      </c>
    </row>
    <row r="21" spans="1:58">
      <c r="A21">
        <v>1995</v>
      </c>
      <c r="B21" t="s">
        <v>187</v>
      </c>
      <c r="C21" t="s">
        <v>86</v>
      </c>
      <c r="G21" s="23">
        <v>43668</v>
      </c>
      <c r="H21">
        <v>3</v>
      </c>
      <c r="I21">
        <v>2181</v>
      </c>
      <c r="J21">
        <v>8</v>
      </c>
      <c r="K21">
        <v>7</v>
      </c>
      <c r="L21">
        <v>6</v>
      </c>
      <c r="M21">
        <v>8</v>
      </c>
      <c r="N21">
        <v>0.79400000000000004</v>
      </c>
      <c r="O21">
        <v>0.69599999999999995</v>
      </c>
      <c r="P21">
        <v>0.59799999999999998</v>
      </c>
      <c r="Q21">
        <v>0.79400000000000004</v>
      </c>
      <c r="R21">
        <v>-123.25616460000001</v>
      </c>
      <c r="S21">
        <v>44.983531999999997</v>
      </c>
      <c r="T21">
        <v>7.25</v>
      </c>
      <c r="U21">
        <v>0.84588240000000003</v>
      </c>
      <c r="V21">
        <v>0.5019323</v>
      </c>
      <c r="W21">
        <v>479804.71875</v>
      </c>
      <c r="X21">
        <v>4981153</v>
      </c>
      <c r="Y21">
        <v>0</v>
      </c>
      <c r="AA21">
        <v>8</v>
      </c>
      <c r="AB21">
        <v>0.29321269999999999</v>
      </c>
      <c r="AC21">
        <v>0.79400000000000004</v>
      </c>
      <c r="AD21">
        <v>0</v>
      </c>
      <c r="AE21">
        <v>7</v>
      </c>
      <c r="AF21">
        <v>0.1769753</v>
      </c>
      <c r="AG21">
        <v>0.69599999999999995</v>
      </c>
      <c r="AH21">
        <v>1</v>
      </c>
      <c r="AI21">
        <v>31.052177400000001</v>
      </c>
      <c r="AJ21">
        <v>0.82970880000000002</v>
      </c>
      <c r="AK21">
        <v>1</v>
      </c>
      <c r="AL21">
        <v>9.5977499999999993E-2</v>
      </c>
      <c r="AM21">
        <v>1</v>
      </c>
      <c r="AN21">
        <v>1</v>
      </c>
      <c r="AO21">
        <v>119</v>
      </c>
      <c r="AP21">
        <v>119</v>
      </c>
      <c r="AQ21">
        <v>2181</v>
      </c>
      <c r="AR21">
        <v>842</v>
      </c>
      <c r="AS21">
        <v>2025</v>
      </c>
      <c r="AT21" s="23">
        <v>45820</v>
      </c>
      <c r="AU21" s="23" t="s">
        <v>178</v>
      </c>
      <c r="AV21">
        <v>3</v>
      </c>
      <c r="AW21">
        <v>479804.71</v>
      </c>
      <c r="AX21">
        <v>4981153</v>
      </c>
      <c r="AY21">
        <v>1256.63706143591</v>
      </c>
      <c r="AZ21">
        <v>125663.706143591</v>
      </c>
      <c r="BA21">
        <v>0.75084810000000002</v>
      </c>
      <c r="BB21">
        <v>0.10325529999999999</v>
      </c>
      <c r="BC21">
        <v>1.5915E-3</v>
      </c>
      <c r="BD21">
        <v>0.65487059999999997</v>
      </c>
      <c r="BE21">
        <v>7.2778000000000001E-3</v>
      </c>
      <c r="BF21">
        <v>-9.4385999999999998E-2</v>
      </c>
    </row>
    <row r="22" spans="1:58">
      <c r="A22">
        <v>2764</v>
      </c>
      <c r="B22" t="s">
        <v>188</v>
      </c>
      <c r="C22" t="s">
        <v>86</v>
      </c>
      <c r="D22" t="s">
        <v>137</v>
      </c>
      <c r="G22" s="23">
        <v>43668</v>
      </c>
      <c r="H22">
        <v>1</v>
      </c>
      <c r="I22">
        <v>2837</v>
      </c>
      <c r="J22">
        <v>5</v>
      </c>
      <c r="K22">
        <v>6</v>
      </c>
      <c r="L22">
        <v>5</v>
      </c>
      <c r="M22">
        <v>7</v>
      </c>
      <c r="N22">
        <v>0.5</v>
      </c>
      <c r="O22">
        <v>0.59799999999999998</v>
      </c>
      <c r="P22">
        <v>0.5</v>
      </c>
      <c r="Q22">
        <v>0.69599999999999995</v>
      </c>
      <c r="R22">
        <v>-122.9120941</v>
      </c>
      <c r="S22">
        <v>44.969848599999999</v>
      </c>
      <c r="T22">
        <v>5.75</v>
      </c>
      <c r="U22">
        <v>0.67294109999999996</v>
      </c>
      <c r="V22">
        <v>5.4489999999999996E-4</v>
      </c>
      <c r="W22">
        <v>506932.25</v>
      </c>
      <c r="X22">
        <v>4979605</v>
      </c>
      <c r="Y22">
        <v>0</v>
      </c>
      <c r="AA22">
        <v>5</v>
      </c>
      <c r="AB22">
        <v>0</v>
      </c>
      <c r="AC22">
        <v>0.5</v>
      </c>
      <c r="AD22">
        <v>0</v>
      </c>
      <c r="AE22">
        <v>5</v>
      </c>
      <c r="AF22">
        <v>1.0947999999999999E-3</v>
      </c>
      <c r="AG22">
        <v>0.5</v>
      </c>
      <c r="AH22">
        <v>0</v>
      </c>
      <c r="AI22">
        <v>31.052177400000001</v>
      </c>
      <c r="AJ22">
        <v>7.9580000000000004E-4</v>
      </c>
      <c r="AK22">
        <v>0</v>
      </c>
      <c r="AL22">
        <v>0.13932249999999999</v>
      </c>
      <c r="AM22">
        <v>1</v>
      </c>
      <c r="AN22">
        <v>1</v>
      </c>
      <c r="AO22">
        <v>124</v>
      </c>
      <c r="AP22">
        <v>124</v>
      </c>
      <c r="AQ22">
        <v>2837</v>
      </c>
      <c r="AR22">
        <v>847</v>
      </c>
      <c r="AS22">
        <v>2025</v>
      </c>
      <c r="AT22" s="23">
        <v>45820</v>
      </c>
      <c r="AU22" s="23" t="s">
        <v>178</v>
      </c>
      <c r="AV22">
        <v>0</v>
      </c>
      <c r="AW22">
        <v>506932.25</v>
      </c>
      <c r="AX22">
        <v>4979605</v>
      </c>
      <c r="AY22">
        <v>1256.63706143591</v>
      </c>
      <c r="AZ22">
        <v>125663.706143591</v>
      </c>
      <c r="BA22">
        <v>0.16876759999999999</v>
      </c>
      <c r="BB22">
        <v>0.15057809999999999</v>
      </c>
      <c r="BC22">
        <v>6.8280000000000001E-4</v>
      </c>
      <c r="BD22">
        <v>2.9445200000000001E-2</v>
      </c>
      <c r="BE22">
        <v>1.12557E-2</v>
      </c>
      <c r="BF22">
        <v>-0.1386396</v>
      </c>
    </row>
    <row r="23" spans="1:58">
      <c r="A23">
        <v>3911</v>
      </c>
      <c r="B23" t="s">
        <v>189</v>
      </c>
      <c r="C23" t="s">
        <v>98</v>
      </c>
      <c r="G23" s="23">
        <v>43668</v>
      </c>
      <c r="H23">
        <v>3</v>
      </c>
      <c r="I23">
        <v>3719</v>
      </c>
      <c r="J23">
        <v>7</v>
      </c>
      <c r="K23">
        <v>6</v>
      </c>
      <c r="L23">
        <v>8</v>
      </c>
      <c r="M23">
        <v>8</v>
      </c>
      <c r="N23">
        <v>0.69599999999999995</v>
      </c>
      <c r="O23">
        <v>0.59799999999999998</v>
      </c>
      <c r="P23">
        <v>0.79400000000000004</v>
      </c>
      <c r="Q23">
        <v>0.79400000000000004</v>
      </c>
      <c r="R23">
        <v>-123.2640152</v>
      </c>
      <c r="S23">
        <v>44.948368100000003</v>
      </c>
      <c r="T23">
        <v>7.25</v>
      </c>
      <c r="U23">
        <v>0.84588240000000003</v>
      </c>
      <c r="V23">
        <v>0.53811279999999995</v>
      </c>
      <c r="W23">
        <v>479172.6875</v>
      </c>
      <c r="X23">
        <v>4977249</v>
      </c>
      <c r="Y23">
        <v>1</v>
      </c>
      <c r="Z23">
        <v>0</v>
      </c>
      <c r="AA23">
        <v>5</v>
      </c>
      <c r="AB23">
        <v>0</v>
      </c>
      <c r="AC23">
        <v>0.5</v>
      </c>
      <c r="AD23">
        <v>0</v>
      </c>
      <c r="AE23">
        <v>6</v>
      </c>
      <c r="AF23">
        <v>2.9528200000000001E-2</v>
      </c>
      <c r="AG23">
        <v>0.59799999999999998</v>
      </c>
      <c r="AH23">
        <v>0</v>
      </c>
      <c r="AI23">
        <v>31.052177400000001</v>
      </c>
      <c r="AJ23">
        <v>0.13919989999999999</v>
      </c>
      <c r="AK23">
        <v>1</v>
      </c>
      <c r="AL23">
        <v>0.190416</v>
      </c>
      <c r="AM23">
        <v>1</v>
      </c>
      <c r="AN23">
        <v>1</v>
      </c>
      <c r="AO23">
        <v>117</v>
      </c>
      <c r="AP23">
        <v>117</v>
      </c>
      <c r="AQ23">
        <v>3719</v>
      </c>
      <c r="AR23">
        <v>840</v>
      </c>
      <c r="AS23">
        <v>2025</v>
      </c>
      <c r="AT23" s="23">
        <v>45820</v>
      </c>
      <c r="AU23" s="23" t="s">
        <v>178</v>
      </c>
      <c r="AV23">
        <v>2</v>
      </c>
      <c r="AW23">
        <v>479172.679999999</v>
      </c>
      <c r="AX23">
        <v>4977249</v>
      </c>
      <c r="AY23">
        <v>1256.63706143591</v>
      </c>
      <c r="AZ23">
        <v>125663.706143591</v>
      </c>
      <c r="BA23">
        <v>1.40982E-2</v>
      </c>
      <c r="BB23">
        <v>1.7313599999999998E-2</v>
      </c>
      <c r="BC23">
        <v>7.9569999999999999E-4</v>
      </c>
      <c r="BD23">
        <v>-0.1763178</v>
      </c>
      <c r="BE23">
        <v>-0.17310239999999999</v>
      </c>
      <c r="BF23">
        <v>-0.18962029999999999</v>
      </c>
    </row>
    <row r="24" spans="1:58">
      <c r="A24">
        <v>5466</v>
      </c>
      <c r="B24" t="s">
        <v>190</v>
      </c>
      <c r="C24" t="s">
        <v>86</v>
      </c>
      <c r="G24" s="23">
        <v>43668</v>
      </c>
      <c r="H24">
        <v>3</v>
      </c>
      <c r="I24">
        <v>4867</v>
      </c>
      <c r="J24">
        <v>6</v>
      </c>
      <c r="K24">
        <v>8</v>
      </c>
      <c r="L24">
        <v>5</v>
      </c>
      <c r="M24">
        <v>8</v>
      </c>
      <c r="N24">
        <v>0.59799999999999998</v>
      </c>
      <c r="O24">
        <v>0.79400000000000004</v>
      </c>
      <c r="P24">
        <v>0.5</v>
      </c>
      <c r="Q24">
        <v>0.79400000000000004</v>
      </c>
      <c r="R24">
        <v>-123.18709560000001</v>
      </c>
      <c r="S24">
        <v>44.970569599999997</v>
      </c>
      <c r="T24">
        <v>6.75</v>
      </c>
      <c r="U24">
        <v>0.78823529999999997</v>
      </c>
      <c r="V24">
        <v>0.1217606</v>
      </c>
      <c r="W24">
        <v>485246.5625</v>
      </c>
      <c r="X24">
        <v>4979698</v>
      </c>
      <c r="Y24">
        <v>0</v>
      </c>
      <c r="AA24">
        <v>5</v>
      </c>
      <c r="AB24">
        <v>5.4949999999999997E-4</v>
      </c>
      <c r="AC24">
        <v>0.5</v>
      </c>
      <c r="AD24">
        <v>1</v>
      </c>
      <c r="AE24">
        <v>6</v>
      </c>
      <c r="AF24">
        <v>1.8226E-3</v>
      </c>
      <c r="AG24">
        <v>0.59799999999999998</v>
      </c>
      <c r="AH24">
        <v>0</v>
      </c>
      <c r="AI24">
        <v>31.052177400000001</v>
      </c>
      <c r="AJ24">
        <v>1E-4</v>
      </c>
      <c r="AK24">
        <v>0</v>
      </c>
      <c r="AL24">
        <v>0.2311049</v>
      </c>
      <c r="AM24">
        <v>1</v>
      </c>
      <c r="AN24">
        <v>1</v>
      </c>
      <c r="AO24">
        <v>121</v>
      </c>
      <c r="AP24">
        <v>121</v>
      </c>
      <c r="AQ24">
        <v>4867</v>
      </c>
      <c r="AR24">
        <v>844</v>
      </c>
      <c r="AS24">
        <v>2025</v>
      </c>
      <c r="AT24" s="23">
        <v>45820</v>
      </c>
      <c r="AU24" s="23" t="s">
        <v>178</v>
      </c>
      <c r="AV24">
        <v>0</v>
      </c>
      <c r="AW24">
        <v>485246.55999999901</v>
      </c>
      <c r="AX24">
        <v>4979698</v>
      </c>
      <c r="AY24">
        <v>1256.63706143591</v>
      </c>
      <c r="AZ24">
        <v>125663.706143591</v>
      </c>
      <c r="BA24">
        <v>0.16011030000000001</v>
      </c>
      <c r="BB24">
        <v>5.5684999999999997E-3</v>
      </c>
      <c r="BC24">
        <v>1.03432E-2</v>
      </c>
      <c r="BD24">
        <v>-7.0994600000000005E-2</v>
      </c>
      <c r="BE24">
        <v>-0.2255363</v>
      </c>
      <c r="BF24">
        <v>-0.22076170000000001</v>
      </c>
    </row>
    <row r="25" spans="1:58">
      <c r="A25">
        <v>6333</v>
      </c>
      <c r="B25" t="s">
        <v>191</v>
      </c>
      <c r="C25" t="s">
        <v>86</v>
      </c>
      <c r="G25" s="23">
        <v>43668</v>
      </c>
      <c r="H25">
        <v>3</v>
      </c>
      <c r="I25">
        <v>5452</v>
      </c>
      <c r="J25">
        <v>5</v>
      </c>
      <c r="K25">
        <v>7</v>
      </c>
      <c r="L25">
        <v>7</v>
      </c>
      <c r="M25">
        <v>8</v>
      </c>
      <c r="N25">
        <v>0.5</v>
      </c>
      <c r="O25">
        <v>0.69599999999999995</v>
      </c>
      <c r="P25">
        <v>0.69599999999999995</v>
      </c>
      <c r="Q25">
        <v>0.79400000000000004</v>
      </c>
      <c r="R25">
        <v>-123.2742157</v>
      </c>
      <c r="S25">
        <v>44.959278099999999</v>
      </c>
      <c r="T25">
        <v>6.75</v>
      </c>
      <c r="U25">
        <v>0.78823529999999997</v>
      </c>
      <c r="V25">
        <v>0.255492</v>
      </c>
      <c r="W25">
        <v>478372.125</v>
      </c>
      <c r="X25">
        <v>4978463.5</v>
      </c>
      <c r="Y25">
        <v>0</v>
      </c>
      <c r="AA25">
        <v>3</v>
      </c>
      <c r="AB25">
        <v>0</v>
      </c>
      <c r="AC25">
        <v>0.30399999999999999</v>
      </c>
      <c r="AD25">
        <v>0</v>
      </c>
      <c r="AE25">
        <v>7</v>
      </c>
      <c r="AF25">
        <v>1.8332500000000002E-2</v>
      </c>
      <c r="AG25">
        <v>0.69599999999999995</v>
      </c>
      <c r="AH25">
        <v>0</v>
      </c>
      <c r="AI25">
        <v>31.052177400000001</v>
      </c>
      <c r="AJ25">
        <v>5.68684E-2</v>
      </c>
      <c r="AK25">
        <v>0</v>
      </c>
      <c r="AL25">
        <v>0.14497889999999999</v>
      </c>
      <c r="AM25">
        <v>1</v>
      </c>
      <c r="AN25">
        <v>1</v>
      </c>
      <c r="AO25">
        <v>118</v>
      </c>
      <c r="AP25">
        <v>118</v>
      </c>
      <c r="AQ25">
        <v>5452</v>
      </c>
      <c r="AR25">
        <v>841</v>
      </c>
      <c r="AS25">
        <v>2025</v>
      </c>
      <c r="AT25" s="23">
        <v>45820</v>
      </c>
      <c r="AU25" s="23" t="s">
        <v>178</v>
      </c>
      <c r="AV25">
        <v>0</v>
      </c>
      <c r="AW25">
        <v>478372.11999999901</v>
      </c>
      <c r="AX25">
        <v>4978463.5</v>
      </c>
      <c r="AY25">
        <v>1256.63706143591</v>
      </c>
      <c r="AZ25">
        <v>125663.706143591</v>
      </c>
      <c r="BA25">
        <v>0.17668300000000001</v>
      </c>
      <c r="BB25">
        <v>0.16176189999999999</v>
      </c>
      <c r="BC25">
        <v>0.1157406</v>
      </c>
      <c r="BD25">
        <v>3.1704099999999999E-2</v>
      </c>
      <c r="BE25">
        <v>1.6782999999999999E-2</v>
      </c>
      <c r="BF25">
        <v>-2.9238299999999998E-2</v>
      </c>
    </row>
    <row r="26" spans="1:58">
      <c r="A26">
        <v>6392</v>
      </c>
      <c r="B26" t="s">
        <v>192</v>
      </c>
      <c r="C26" t="s">
        <v>86</v>
      </c>
      <c r="D26" t="s">
        <v>148</v>
      </c>
      <c r="G26" s="23">
        <v>43668</v>
      </c>
      <c r="H26">
        <v>3</v>
      </c>
      <c r="I26">
        <v>5500</v>
      </c>
      <c r="J26">
        <v>5</v>
      </c>
      <c r="K26">
        <v>8</v>
      </c>
      <c r="L26">
        <v>5</v>
      </c>
      <c r="M26">
        <v>8</v>
      </c>
      <c r="N26">
        <v>0.5</v>
      </c>
      <c r="O26">
        <v>0.79400000000000004</v>
      </c>
      <c r="P26">
        <v>0.5</v>
      </c>
      <c r="Q26">
        <v>0.79400000000000004</v>
      </c>
      <c r="R26">
        <v>-123.1814499</v>
      </c>
      <c r="S26">
        <v>44.944641099999998</v>
      </c>
      <c r="T26">
        <v>6.5</v>
      </c>
      <c r="U26">
        <v>0.75941179999999997</v>
      </c>
      <c r="V26">
        <v>7.4809000000000004E-3</v>
      </c>
      <c r="W26">
        <v>485685.4375</v>
      </c>
      <c r="X26">
        <v>4976816.5</v>
      </c>
      <c r="Y26">
        <v>0</v>
      </c>
      <c r="AA26">
        <v>5</v>
      </c>
      <c r="AB26">
        <v>0</v>
      </c>
      <c r="AC26">
        <v>0.5</v>
      </c>
      <c r="AD26">
        <v>0</v>
      </c>
      <c r="AE26">
        <v>6</v>
      </c>
      <c r="AF26">
        <v>3.3541599999999998E-2</v>
      </c>
      <c r="AG26">
        <v>0.59799999999999998</v>
      </c>
      <c r="AH26">
        <v>0</v>
      </c>
      <c r="AI26">
        <v>31.052177400000001</v>
      </c>
      <c r="AJ26">
        <v>0.12591189999999999</v>
      </c>
      <c r="AK26">
        <v>1</v>
      </c>
      <c r="AL26">
        <v>0.15548139999999999</v>
      </c>
      <c r="AM26">
        <v>1</v>
      </c>
      <c r="AN26">
        <v>1</v>
      </c>
      <c r="AO26">
        <v>123</v>
      </c>
      <c r="AP26">
        <v>123</v>
      </c>
      <c r="AQ26">
        <v>5500</v>
      </c>
      <c r="AR26">
        <v>846</v>
      </c>
      <c r="AS26">
        <v>2025</v>
      </c>
      <c r="AT26" s="23">
        <v>45820</v>
      </c>
      <c r="AU26" s="23" t="s">
        <v>178</v>
      </c>
      <c r="AV26">
        <v>0</v>
      </c>
      <c r="AW26">
        <v>485685.429999999</v>
      </c>
      <c r="AX26">
        <v>4976816.5</v>
      </c>
      <c r="AY26">
        <v>1256.63706143591</v>
      </c>
      <c r="AZ26">
        <v>125663.706143591</v>
      </c>
      <c r="BA26">
        <v>7.9580000000000004E-4</v>
      </c>
      <c r="BB26">
        <v>7.9580000000000004E-4</v>
      </c>
      <c r="BC26">
        <v>7.9580000000000004E-4</v>
      </c>
      <c r="BD26">
        <v>-0.15468560000000001</v>
      </c>
      <c r="BE26">
        <v>-0.15468560000000001</v>
      </c>
      <c r="BF26">
        <v>-0.15468560000000001</v>
      </c>
    </row>
    <row r="27" spans="1:58">
      <c r="A27">
        <v>6395</v>
      </c>
      <c r="B27" t="s">
        <v>192</v>
      </c>
      <c r="C27" t="s">
        <v>86</v>
      </c>
      <c r="D27" t="s">
        <v>148</v>
      </c>
      <c r="G27" s="23">
        <v>43668</v>
      </c>
      <c r="H27">
        <v>3</v>
      </c>
      <c r="I27">
        <v>5503</v>
      </c>
      <c r="J27">
        <v>6</v>
      </c>
      <c r="K27">
        <v>10</v>
      </c>
      <c r="L27">
        <v>7</v>
      </c>
      <c r="M27">
        <v>8</v>
      </c>
      <c r="N27">
        <v>0.59799999999999998</v>
      </c>
      <c r="O27">
        <v>0.99</v>
      </c>
      <c r="P27">
        <v>0.69599999999999995</v>
      </c>
      <c r="Q27">
        <v>0.79400000000000004</v>
      </c>
      <c r="R27">
        <v>-123.1788864</v>
      </c>
      <c r="S27">
        <v>44.961677600000002</v>
      </c>
      <c r="T27">
        <v>7.75</v>
      </c>
      <c r="U27">
        <v>0.90352940000000004</v>
      </c>
      <c r="V27">
        <v>0.63156310000000004</v>
      </c>
      <c r="W27">
        <v>485891.4375</v>
      </c>
      <c r="X27">
        <v>4978709</v>
      </c>
      <c r="Y27">
        <v>0</v>
      </c>
      <c r="AA27">
        <v>6</v>
      </c>
      <c r="AB27">
        <v>3.3928000000000001E-3</v>
      </c>
      <c r="AC27">
        <v>0.59799999999999998</v>
      </c>
      <c r="AD27">
        <v>0</v>
      </c>
      <c r="AE27">
        <v>4</v>
      </c>
      <c r="AF27">
        <v>0</v>
      </c>
      <c r="AG27">
        <v>0.40200000000000002</v>
      </c>
      <c r="AH27">
        <v>0</v>
      </c>
      <c r="AI27">
        <v>31.052177400000001</v>
      </c>
      <c r="AJ27">
        <v>1E-4</v>
      </c>
      <c r="AK27">
        <v>0</v>
      </c>
      <c r="AL27">
        <v>0.18198010000000001</v>
      </c>
      <c r="AM27">
        <v>1</v>
      </c>
      <c r="AN27">
        <v>1</v>
      </c>
      <c r="AO27">
        <v>122</v>
      </c>
      <c r="AP27">
        <v>122</v>
      </c>
      <c r="AQ27">
        <v>5503</v>
      </c>
      <c r="AR27">
        <v>845</v>
      </c>
      <c r="AS27">
        <v>2025</v>
      </c>
      <c r="AT27" s="23">
        <v>45820</v>
      </c>
      <c r="AU27" s="23" t="s">
        <v>178</v>
      </c>
      <c r="AV27">
        <v>1</v>
      </c>
      <c r="AW27">
        <v>485891.429999999</v>
      </c>
      <c r="AX27">
        <v>4978709</v>
      </c>
      <c r="AY27">
        <v>1256.63706143591</v>
      </c>
      <c r="AZ27">
        <v>125663.706143591</v>
      </c>
      <c r="BA27">
        <v>0.18917709999999999</v>
      </c>
      <c r="BB27">
        <v>2.3340000000000001E-3</v>
      </c>
      <c r="BC27">
        <v>3.1300999999999998E-3</v>
      </c>
      <c r="BD27">
        <v>7.1970000000000003E-3</v>
      </c>
      <c r="BE27">
        <v>-0.1796461</v>
      </c>
      <c r="BF27">
        <v>-0.17885000000000001</v>
      </c>
    </row>
    <row r="30" spans="1:58">
      <c r="BB30" s="3" t="s">
        <v>22</v>
      </c>
    </row>
    <row r="31" spans="1:58">
      <c r="BA31" t="s">
        <v>12</v>
      </c>
      <c r="BB31">
        <f>COUNTIF(BF2:BF27,"&lt;0")</f>
        <v>23</v>
      </c>
    </row>
    <row r="32" spans="1:58">
      <c r="BA32" t="s">
        <v>13</v>
      </c>
      <c r="BB32">
        <f>COUNTIF(BF2:BF27,"&gt;0")</f>
        <v>3</v>
      </c>
    </row>
    <row r="33" spans="53:54">
      <c r="BA33" t="s">
        <v>23</v>
      </c>
      <c r="BB33">
        <f>COUNTA(_xlfn.UNIQUE(I2:I27))</f>
        <v>26</v>
      </c>
    </row>
    <row r="35" spans="53:54">
      <c r="BA35" t="s">
        <v>14</v>
      </c>
      <c r="BB35">
        <f>SUMIF(AV2:AV27,"&gt;0")</f>
        <v>9</v>
      </c>
    </row>
    <row r="36" spans="53:54">
      <c r="BA36" t="s">
        <v>15</v>
      </c>
      <c r="BB36">
        <f>COUNTIF(AV2:AV27,"&gt;0")</f>
        <v>5</v>
      </c>
    </row>
    <row r="37" spans="53:54" ht="29">
      <c r="BA37" s="1" t="s">
        <v>16</v>
      </c>
      <c r="BB37" s="2">
        <f>AVERAGE(BC2:BC27)</f>
        <v>3.8051092307692311E-2</v>
      </c>
    </row>
    <row r="38" spans="53:54">
      <c r="BA38" t="s">
        <v>17</v>
      </c>
      <c r="BB38" s="2">
        <f>MIN(BC2:BC27)</f>
        <v>6.8280000000000001E-4</v>
      </c>
    </row>
    <row r="39" spans="53:54">
      <c r="BA39" t="s">
        <v>18</v>
      </c>
      <c r="BB39" s="2">
        <f>MAX(BC2:BC27)</f>
        <v>0.35402549999999999</v>
      </c>
    </row>
    <row r="40" spans="53:54">
      <c r="BA40" t="s">
        <v>19</v>
      </c>
      <c r="BB40" s="2">
        <f>MEDIAN(BC2:BC27)</f>
        <v>2.7587000000000002E-3</v>
      </c>
    </row>
  </sheetData>
  <autoFilter ref="A1:BF1" xr:uid="{9C8519D5-6B29-40ED-9AEC-024FEF2EED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Roll Ups</vt:lpstr>
      <vt:lpstr>Adjusted vs Unadjusted Habitat</vt:lpstr>
      <vt:lpstr>tbl_pts_WV_SHLA_survey_data_fro</vt:lpstr>
      <vt:lpstr>Survey Period 1</vt:lpstr>
      <vt:lpstr>Survey Period 2</vt:lpstr>
      <vt:lpstr>Survey Period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Stevenson</dc:creator>
  <cp:lastModifiedBy>Matt Stevenson</cp:lastModifiedBy>
  <dcterms:created xsi:type="dcterms:W3CDTF">2025-01-15T21:35:30Z</dcterms:created>
  <dcterms:modified xsi:type="dcterms:W3CDTF">2025-12-11T20:23:01Z</dcterms:modified>
</cp:coreProperties>
</file>